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D9FAE319-D12D-1243-B62A-92D9E156572C}" xr6:coauthVersionLast="47" xr6:coauthVersionMax="47" xr10:uidLastSave="{00000000-0000-0000-0000-000000000000}"/>
  <bookViews>
    <workbookView xWindow="14400" yWindow="620" windowWidth="14400" windowHeight="15960" firstSheet="7" activeTab="9" xr2:uid="{00000000-000D-0000-FFFF-FFFF00000000}"/>
  </bookViews>
  <sheets>
    <sheet name="Demand " sheetId="1" r:id="rId1"/>
    <sheet name="Sensitivity analysis 1" sheetId="6" r:id="rId2"/>
    <sheet name="Sensitivity analysis 2" sheetId="2" r:id="rId3"/>
    <sheet name="Sensitivity analysis 3" sheetId="3" r:id="rId4"/>
    <sheet name="Sensitivity analysis 4" sheetId="4" r:id="rId5"/>
    <sheet name="Sensitivity analysis 5" sheetId="5" r:id="rId6"/>
    <sheet name="Sensitivity analysis 6" sheetId="7" r:id="rId7"/>
    <sheet name="Sensitivity analysis 7" sheetId="8" r:id="rId8"/>
    <sheet name="Sensitivity analysis 8" sheetId="9" r:id="rId9"/>
    <sheet name="Summ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47" i="1"/>
  <c r="D16" i="1"/>
  <c r="B19" i="1"/>
  <c r="D13" i="10"/>
  <c r="C13" i="10"/>
  <c r="A17" i="10"/>
  <c r="A16" i="10"/>
  <c r="A15" i="10"/>
  <c r="J3" i="10"/>
  <c r="J4" i="10"/>
  <c r="J5" i="10"/>
  <c r="J6" i="10"/>
  <c r="J7" i="10"/>
  <c r="J8" i="10"/>
  <c r="J9" i="10"/>
  <c r="J10" i="10"/>
  <c r="J2" i="10"/>
  <c r="G32" i="9"/>
  <c r="G72" i="9"/>
  <c r="G62" i="9"/>
  <c r="G52" i="9"/>
  <c r="G42" i="9"/>
  <c r="G22" i="9"/>
  <c r="G67" i="9"/>
  <c r="G68" i="9"/>
  <c r="G69" i="9"/>
  <c r="G70" i="9"/>
  <c r="G71" i="9"/>
  <c r="G66" i="9"/>
  <c r="G57" i="9"/>
  <c r="G58" i="9"/>
  <c r="G59" i="9"/>
  <c r="G60" i="9"/>
  <c r="G61" i="9"/>
  <c r="G56" i="9"/>
  <c r="G47" i="9"/>
  <c r="G48" i="9"/>
  <c r="G49" i="9"/>
  <c r="G50" i="9"/>
  <c r="G51" i="9"/>
  <c r="G46" i="9"/>
  <c r="G37" i="9"/>
  <c r="G38" i="9"/>
  <c r="G39" i="9"/>
  <c r="G40" i="9"/>
  <c r="G41" i="9"/>
  <c r="G36" i="9"/>
  <c r="G27" i="9"/>
  <c r="G28" i="9"/>
  <c r="G29" i="9"/>
  <c r="G30" i="9"/>
  <c r="G31" i="9"/>
  <c r="G26" i="9"/>
  <c r="G17" i="9"/>
  <c r="G18" i="9"/>
  <c r="G19" i="9"/>
  <c r="G20" i="9"/>
  <c r="G21" i="9"/>
  <c r="G16" i="9"/>
  <c r="E67" i="9"/>
  <c r="E68" i="9"/>
  <c r="E69" i="9"/>
  <c r="E70" i="9"/>
  <c r="E71" i="9"/>
  <c r="E66" i="9"/>
  <c r="E57" i="9"/>
  <c r="E58" i="9"/>
  <c r="E59" i="9"/>
  <c r="E60" i="9"/>
  <c r="E61" i="9"/>
  <c r="E56" i="9"/>
  <c r="E47" i="9"/>
  <c r="E48" i="9"/>
  <c r="E49" i="9"/>
  <c r="E50" i="9"/>
  <c r="E51" i="9"/>
  <c r="E46" i="9"/>
  <c r="E37" i="9"/>
  <c r="E38" i="9"/>
  <c r="E39" i="9"/>
  <c r="E40" i="9"/>
  <c r="E41" i="9"/>
  <c r="E36" i="9"/>
  <c r="E27" i="9"/>
  <c r="E28" i="9"/>
  <c r="E29" i="9"/>
  <c r="E30" i="9"/>
  <c r="E31" i="9"/>
  <c r="E26" i="9"/>
  <c r="E17" i="9"/>
  <c r="E18" i="9"/>
  <c r="E19" i="9"/>
  <c r="E20" i="9"/>
  <c r="E21" i="9"/>
  <c r="E16" i="9"/>
  <c r="D71" i="9"/>
  <c r="D70" i="9"/>
  <c r="D69" i="9"/>
  <c r="D68" i="9"/>
  <c r="D67" i="9"/>
  <c r="D66" i="9"/>
  <c r="D60" i="9"/>
  <c r="D59" i="9"/>
  <c r="D49" i="9"/>
  <c r="D38" i="9"/>
  <c r="D27" i="9"/>
  <c r="D26" i="9"/>
  <c r="D16" i="9"/>
  <c r="C71" i="9"/>
  <c r="C70" i="9"/>
  <c r="C69" i="9"/>
  <c r="C68" i="9"/>
  <c r="C67" i="9"/>
  <c r="C66" i="9"/>
  <c r="C61" i="9"/>
  <c r="C60" i="9"/>
  <c r="C59" i="9"/>
  <c r="C58" i="9"/>
  <c r="C57" i="9"/>
  <c r="C56" i="9"/>
  <c r="C51" i="9"/>
  <c r="C50" i="9"/>
  <c r="C49" i="9"/>
  <c r="C48" i="9"/>
  <c r="C47" i="9"/>
  <c r="C46" i="9"/>
  <c r="C41" i="9"/>
  <c r="C40" i="9"/>
  <c r="C39" i="9"/>
  <c r="C38" i="9"/>
  <c r="C37" i="9"/>
  <c r="C36" i="9"/>
  <c r="C31" i="9"/>
  <c r="C30" i="9"/>
  <c r="C29" i="9"/>
  <c r="C28" i="9"/>
  <c r="C27" i="9"/>
  <c r="C26" i="9"/>
  <c r="C21" i="9"/>
  <c r="C20" i="9"/>
  <c r="C19" i="9"/>
  <c r="C18" i="9"/>
  <c r="C17" i="9"/>
  <c r="C16" i="9"/>
  <c r="G52" i="8"/>
  <c r="G72" i="8"/>
  <c r="G62" i="8"/>
  <c r="G42" i="8"/>
  <c r="G32" i="8"/>
  <c r="G22" i="8"/>
  <c r="G67" i="8"/>
  <c r="G68" i="8"/>
  <c r="G69" i="8"/>
  <c r="G70" i="8"/>
  <c r="G71" i="8"/>
  <c r="G66" i="8"/>
  <c r="G57" i="8"/>
  <c r="G58" i="8"/>
  <c r="G59" i="8"/>
  <c r="G60" i="8"/>
  <c r="G61" i="8"/>
  <c r="G56" i="8"/>
  <c r="G47" i="8"/>
  <c r="G48" i="8"/>
  <c r="G49" i="8"/>
  <c r="G50" i="8"/>
  <c r="G51" i="8"/>
  <c r="G46" i="8"/>
  <c r="G37" i="8"/>
  <c r="G38" i="8"/>
  <c r="G39" i="8"/>
  <c r="G40" i="8"/>
  <c r="G41" i="8"/>
  <c r="G36" i="8"/>
  <c r="G27" i="8"/>
  <c r="G28" i="8"/>
  <c r="G29" i="8"/>
  <c r="G30" i="8"/>
  <c r="G31" i="8"/>
  <c r="G26" i="8"/>
  <c r="G17" i="8"/>
  <c r="G18" i="8"/>
  <c r="G19" i="8"/>
  <c r="G20" i="8"/>
  <c r="G21" i="8"/>
  <c r="G16" i="8"/>
  <c r="E67" i="8"/>
  <c r="E68" i="8"/>
  <c r="E69" i="8"/>
  <c r="E70" i="8"/>
  <c r="E71" i="8"/>
  <c r="E66" i="8"/>
  <c r="E57" i="8"/>
  <c r="E58" i="8"/>
  <c r="E59" i="8"/>
  <c r="E60" i="8"/>
  <c r="E61" i="8"/>
  <c r="E56" i="8"/>
  <c r="E47" i="8"/>
  <c r="E48" i="8"/>
  <c r="E49" i="8"/>
  <c r="E50" i="8"/>
  <c r="E51" i="8"/>
  <c r="E46" i="8"/>
  <c r="E37" i="8"/>
  <c r="E38" i="8"/>
  <c r="E39" i="8"/>
  <c r="E40" i="8"/>
  <c r="E41" i="8"/>
  <c r="E36" i="8"/>
  <c r="E27" i="8"/>
  <c r="E28" i="8"/>
  <c r="E29" i="8"/>
  <c r="E30" i="8"/>
  <c r="E31" i="8"/>
  <c r="E26" i="8"/>
  <c r="E17" i="8"/>
  <c r="E18" i="8"/>
  <c r="E19" i="8"/>
  <c r="E20" i="8"/>
  <c r="E21" i="8"/>
  <c r="E16" i="8"/>
  <c r="C71" i="8"/>
  <c r="C70" i="8"/>
  <c r="C69" i="8"/>
  <c r="C68" i="8"/>
  <c r="C67" i="8"/>
  <c r="C66" i="8"/>
  <c r="C61" i="8"/>
  <c r="C60" i="8"/>
  <c r="C59" i="8"/>
  <c r="C58" i="8"/>
  <c r="C57" i="8"/>
  <c r="C56" i="8"/>
  <c r="C51" i="8"/>
  <c r="C50" i="8"/>
  <c r="C49" i="8"/>
  <c r="C48" i="8"/>
  <c r="C47" i="8"/>
  <c r="C46" i="8"/>
  <c r="C41" i="8"/>
  <c r="C40" i="8"/>
  <c r="C39" i="8"/>
  <c r="C38" i="8"/>
  <c r="C37" i="8"/>
  <c r="C36" i="8"/>
  <c r="C31" i="8"/>
  <c r="C30" i="8"/>
  <c r="C29" i="8"/>
  <c r="C28" i="8"/>
  <c r="C27" i="8"/>
  <c r="C26" i="8"/>
  <c r="C16" i="8"/>
  <c r="D71" i="8"/>
  <c r="D70" i="8"/>
  <c r="D69" i="8"/>
  <c r="D68" i="8"/>
  <c r="D67" i="8"/>
  <c r="D66" i="8"/>
  <c r="D60" i="8"/>
  <c r="D59" i="8"/>
  <c r="D49" i="8"/>
  <c r="D38" i="8"/>
  <c r="D27" i="8"/>
  <c r="D26" i="8"/>
  <c r="D16" i="8"/>
  <c r="G72" i="7"/>
  <c r="G62" i="7"/>
  <c r="G52" i="7"/>
  <c r="G42" i="7"/>
  <c r="G32" i="7"/>
  <c r="G22" i="7"/>
  <c r="G67" i="7"/>
  <c r="G68" i="7"/>
  <c r="G69" i="7"/>
  <c r="G70" i="7"/>
  <c r="G71" i="7"/>
  <c r="G66" i="7"/>
  <c r="G57" i="7"/>
  <c r="G58" i="7"/>
  <c r="G59" i="7"/>
  <c r="G60" i="7"/>
  <c r="G61" i="7"/>
  <c r="G56" i="7"/>
  <c r="G47" i="7"/>
  <c r="G48" i="7"/>
  <c r="G49" i="7"/>
  <c r="G50" i="7"/>
  <c r="G51" i="7"/>
  <c r="G46" i="7"/>
  <c r="G37" i="7"/>
  <c r="G38" i="7"/>
  <c r="G39" i="7"/>
  <c r="G40" i="7"/>
  <c r="G41" i="7"/>
  <c r="G36" i="7"/>
  <c r="G27" i="7"/>
  <c r="G28" i="7"/>
  <c r="G29" i="7"/>
  <c r="G30" i="7"/>
  <c r="G31" i="7"/>
  <c r="G26" i="7"/>
  <c r="G17" i="7"/>
  <c r="G18" i="7"/>
  <c r="G19" i="7"/>
  <c r="G20" i="7"/>
  <c r="G21" i="7"/>
  <c r="G16" i="7"/>
  <c r="E67" i="7"/>
  <c r="E68" i="7"/>
  <c r="E69" i="7"/>
  <c r="E70" i="7"/>
  <c r="E71" i="7"/>
  <c r="E66" i="7"/>
  <c r="E57" i="7"/>
  <c r="E58" i="7"/>
  <c r="E59" i="7"/>
  <c r="E60" i="7"/>
  <c r="E61" i="7"/>
  <c r="E56" i="7"/>
  <c r="E47" i="7"/>
  <c r="E48" i="7"/>
  <c r="E49" i="7"/>
  <c r="E50" i="7"/>
  <c r="E51" i="7"/>
  <c r="E46" i="7"/>
  <c r="E37" i="7"/>
  <c r="E38" i="7"/>
  <c r="E39" i="7"/>
  <c r="E40" i="7"/>
  <c r="E41" i="7"/>
  <c r="E36" i="7"/>
  <c r="E27" i="7"/>
  <c r="E28" i="7"/>
  <c r="E29" i="7"/>
  <c r="E30" i="7"/>
  <c r="E31" i="7"/>
  <c r="E26" i="7"/>
  <c r="E18" i="7"/>
  <c r="E19" i="7"/>
  <c r="E20" i="7"/>
  <c r="E21" i="7"/>
  <c r="E17" i="7"/>
  <c r="E16" i="7"/>
  <c r="D67" i="7"/>
  <c r="D68" i="7"/>
  <c r="D69" i="7"/>
  <c r="D70" i="7"/>
  <c r="D71" i="7"/>
  <c r="D66" i="7"/>
  <c r="D60" i="7"/>
  <c r="D59" i="7"/>
  <c r="D49" i="7"/>
  <c r="D38" i="7"/>
  <c r="D27" i="7"/>
  <c r="D26" i="7"/>
  <c r="D16" i="7"/>
  <c r="C67" i="7"/>
  <c r="C68" i="7"/>
  <c r="C69" i="7"/>
  <c r="C70" i="7"/>
  <c r="C71" i="7"/>
  <c r="C66" i="7"/>
  <c r="C57" i="7"/>
  <c r="C58" i="7"/>
  <c r="C59" i="7"/>
  <c r="C60" i="7"/>
  <c r="C61" i="7"/>
  <c r="C56" i="7"/>
  <c r="C47" i="7"/>
  <c r="C48" i="7"/>
  <c r="C49" i="7"/>
  <c r="C50" i="7"/>
  <c r="C51" i="7"/>
  <c r="C46" i="7"/>
  <c r="C37" i="7"/>
  <c r="C38" i="7"/>
  <c r="C39" i="7"/>
  <c r="C40" i="7"/>
  <c r="C41" i="7"/>
  <c r="C36" i="7"/>
  <c r="C27" i="7"/>
  <c r="C28" i="7"/>
  <c r="C29" i="7"/>
  <c r="C30" i="7"/>
  <c r="C31" i="7"/>
  <c r="C26" i="7"/>
  <c r="C17" i="7"/>
  <c r="C18" i="7"/>
  <c r="C19" i="7"/>
  <c r="C20" i="7"/>
  <c r="C21" i="7"/>
  <c r="C16" i="7"/>
  <c r="G72" i="5"/>
  <c r="G62" i="5"/>
  <c r="G52" i="5"/>
  <c r="G42" i="5"/>
  <c r="G32" i="5"/>
  <c r="G22" i="5"/>
  <c r="G67" i="5"/>
  <c r="G68" i="5"/>
  <c r="G69" i="5"/>
  <c r="G70" i="5"/>
  <c r="G71" i="5"/>
  <c r="G66" i="5"/>
  <c r="G57" i="5"/>
  <c r="G58" i="5"/>
  <c r="G59" i="5"/>
  <c r="G60" i="5"/>
  <c r="G61" i="5"/>
  <c r="G56" i="5"/>
  <c r="G47" i="5"/>
  <c r="G48" i="5"/>
  <c r="G49" i="5"/>
  <c r="G50" i="5"/>
  <c r="G51" i="5"/>
  <c r="G46" i="5"/>
  <c r="G37" i="5"/>
  <c r="G38" i="5"/>
  <c r="G39" i="5"/>
  <c r="G40" i="5"/>
  <c r="G41" i="5"/>
  <c r="G36" i="5"/>
  <c r="G27" i="5"/>
  <c r="G28" i="5"/>
  <c r="G29" i="5"/>
  <c r="G30" i="5"/>
  <c r="G31" i="5"/>
  <c r="G26" i="5"/>
  <c r="G17" i="5"/>
  <c r="G18" i="5"/>
  <c r="G19" i="5"/>
  <c r="G20" i="5"/>
  <c r="G21" i="5"/>
  <c r="G16" i="5"/>
  <c r="E67" i="5"/>
  <c r="E68" i="5"/>
  <c r="E69" i="5"/>
  <c r="E70" i="5"/>
  <c r="E71" i="5"/>
  <c r="E66" i="5"/>
  <c r="E57" i="5"/>
  <c r="E58" i="5"/>
  <c r="E59" i="5"/>
  <c r="E60" i="5"/>
  <c r="E61" i="5"/>
  <c r="E56" i="5"/>
  <c r="E47" i="5"/>
  <c r="E48" i="5"/>
  <c r="E49" i="5"/>
  <c r="E50" i="5"/>
  <c r="E51" i="5"/>
  <c r="E46" i="5"/>
  <c r="E37" i="5"/>
  <c r="E38" i="5"/>
  <c r="E39" i="5"/>
  <c r="E40" i="5"/>
  <c r="E41" i="5"/>
  <c r="E36" i="5"/>
  <c r="E27" i="5"/>
  <c r="E28" i="5"/>
  <c r="E29" i="5"/>
  <c r="E30" i="5"/>
  <c r="E31" i="5"/>
  <c r="E26" i="5"/>
  <c r="E17" i="5"/>
  <c r="E18" i="5"/>
  <c r="E19" i="5"/>
  <c r="E20" i="5"/>
  <c r="E21" i="5"/>
  <c r="E16" i="5"/>
  <c r="D38" i="5"/>
  <c r="D37" i="5"/>
  <c r="D36" i="5"/>
  <c r="D27" i="5"/>
  <c r="D26" i="5"/>
  <c r="C67" i="5"/>
  <c r="C68" i="5"/>
  <c r="C69" i="5"/>
  <c r="C70" i="5"/>
  <c r="C71" i="5"/>
  <c r="C66" i="5"/>
  <c r="C57" i="5"/>
  <c r="C58" i="5"/>
  <c r="C59" i="5"/>
  <c r="C60" i="5"/>
  <c r="C61" i="5"/>
  <c r="C56" i="5"/>
  <c r="C47" i="5"/>
  <c r="C48" i="5"/>
  <c r="C49" i="5"/>
  <c r="C50" i="5"/>
  <c r="C51" i="5"/>
  <c r="C46" i="5"/>
  <c r="C37" i="5"/>
  <c r="C38" i="5"/>
  <c r="C39" i="5"/>
  <c r="C40" i="5"/>
  <c r="C41" i="5"/>
  <c r="C36" i="5"/>
  <c r="C27" i="5"/>
  <c r="C28" i="5"/>
  <c r="C29" i="5"/>
  <c r="C30" i="5"/>
  <c r="C31" i="5"/>
  <c r="C26" i="5"/>
  <c r="D16" i="5"/>
  <c r="C17" i="5"/>
  <c r="C18" i="5"/>
  <c r="C19" i="5"/>
  <c r="C20" i="5"/>
  <c r="C21" i="5"/>
  <c r="C16" i="5"/>
  <c r="G62" i="4"/>
  <c r="G72" i="4"/>
  <c r="G67" i="4"/>
  <c r="G68" i="4"/>
  <c r="G69" i="4"/>
  <c r="G70" i="4"/>
  <c r="G71" i="4"/>
  <c r="G66" i="4"/>
  <c r="E67" i="4"/>
  <c r="E68" i="4"/>
  <c r="E69" i="4"/>
  <c r="E70" i="4"/>
  <c r="E71" i="4"/>
  <c r="E66" i="4"/>
  <c r="D67" i="4"/>
  <c r="D68" i="4"/>
  <c r="D69" i="4"/>
  <c r="D70" i="4"/>
  <c r="D71" i="4"/>
  <c r="D66" i="4"/>
  <c r="G57" i="4"/>
  <c r="G58" i="4"/>
  <c r="G59" i="4"/>
  <c r="G60" i="4"/>
  <c r="G61" i="4"/>
  <c r="G56" i="4"/>
  <c r="E57" i="4"/>
  <c r="E58" i="4"/>
  <c r="E59" i="4"/>
  <c r="E60" i="4"/>
  <c r="E61" i="4"/>
  <c r="E56" i="4"/>
  <c r="D60" i="4"/>
  <c r="G52" i="4"/>
  <c r="G47" i="4"/>
  <c r="G48" i="4"/>
  <c r="G49" i="4"/>
  <c r="G50" i="4"/>
  <c r="G51" i="4"/>
  <c r="G46" i="4"/>
  <c r="E47" i="4"/>
  <c r="E48" i="4"/>
  <c r="E49" i="4"/>
  <c r="E50" i="4"/>
  <c r="E51" i="4"/>
  <c r="E46" i="4"/>
  <c r="D49" i="4"/>
  <c r="C67" i="4"/>
  <c r="C68" i="4"/>
  <c r="C69" i="4"/>
  <c r="C70" i="4"/>
  <c r="C71" i="4"/>
  <c r="C66" i="4"/>
  <c r="C57" i="4"/>
  <c r="C58" i="4"/>
  <c r="C59" i="4"/>
  <c r="C60" i="4"/>
  <c r="C61" i="4"/>
  <c r="C56" i="4"/>
  <c r="C47" i="4"/>
  <c r="C48" i="4"/>
  <c r="C49" i="4"/>
  <c r="C50" i="4"/>
  <c r="C51" i="4"/>
  <c r="C46" i="4"/>
  <c r="G42" i="4"/>
  <c r="G37" i="4"/>
  <c r="G38" i="4"/>
  <c r="G39" i="4"/>
  <c r="G40" i="4"/>
  <c r="G41" i="4"/>
  <c r="G36" i="4"/>
  <c r="E37" i="4"/>
  <c r="E38" i="4"/>
  <c r="E39" i="4"/>
  <c r="E40" i="4"/>
  <c r="E41" i="4"/>
  <c r="E36" i="4"/>
  <c r="D38" i="4"/>
  <c r="D37" i="4"/>
  <c r="D36" i="4"/>
  <c r="C37" i="4"/>
  <c r="C38" i="4"/>
  <c r="C39" i="4"/>
  <c r="C40" i="4"/>
  <c r="C41" i="4"/>
  <c r="C36" i="4"/>
  <c r="G30" i="4"/>
  <c r="E30" i="4"/>
  <c r="D27" i="4"/>
  <c r="E27" i="4" s="1"/>
  <c r="G27" i="4" s="1"/>
  <c r="D26" i="4"/>
  <c r="E26" i="4" s="1"/>
  <c r="G26" i="4" s="1"/>
  <c r="C27" i="4"/>
  <c r="C28" i="4"/>
  <c r="E28" i="4" s="1"/>
  <c r="G28" i="4" s="1"/>
  <c r="C29" i="4"/>
  <c r="E29" i="4" s="1"/>
  <c r="G29" i="4" s="1"/>
  <c r="C30" i="4"/>
  <c r="C31" i="4"/>
  <c r="E31" i="4" s="1"/>
  <c r="G31" i="4" s="1"/>
  <c r="C26" i="4"/>
  <c r="G17" i="4"/>
  <c r="G21" i="4"/>
  <c r="E17" i="4"/>
  <c r="E18" i="4"/>
  <c r="G18" i="4" s="1"/>
  <c r="E19" i="4"/>
  <c r="G19" i="4" s="1"/>
  <c r="E20" i="4"/>
  <c r="G20" i="4" s="1"/>
  <c r="E21" i="4"/>
  <c r="D16" i="4"/>
  <c r="E16" i="4" s="1"/>
  <c r="G16" i="4" s="1"/>
  <c r="C16" i="4"/>
  <c r="G32" i="3"/>
  <c r="G72" i="3"/>
  <c r="G67" i="3"/>
  <c r="G68" i="3"/>
  <c r="G69" i="3"/>
  <c r="G70" i="3"/>
  <c r="G71" i="3"/>
  <c r="G66" i="3"/>
  <c r="E67" i="3"/>
  <c r="E68" i="3"/>
  <c r="E69" i="3"/>
  <c r="E70" i="3"/>
  <c r="E71" i="3"/>
  <c r="E66" i="3"/>
  <c r="G62" i="3"/>
  <c r="G57" i="3"/>
  <c r="G58" i="3"/>
  <c r="G59" i="3"/>
  <c r="G60" i="3"/>
  <c r="G61" i="3"/>
  <c r="G56" i="3"/>
  <c r="E57" i="3"/>
  <c r="E58" i="3"/>
  <c r="E59" i="3"/>
  <c r="E60" i="3"/>
  <c r="E61" i="3"/>
  <c r="E56" i="3"/>
  <c r="G52" i="3"/>
  <c r="G47" i="3"/>
  <c r="G48" i="3"/>
  <c r="G49" i="3"/>
  <c r="G50" i="3"/>
  <c r="G51" i="3"/>
  <c r="G46" i="3"/>
  <c r="E47" i="3"/>
  <c r="E48" i="3"/>
  <c r="E49" i="3"/>
  <c r="E50" i="3"/>
  <c r="E51" i="3"/>
  <c r="E46" i="3"/>
  <c r="G42" i="3"/>
  <c r="G37" i="3"/>
  <c r="G38" i="3"/>
  <c r="G39" i="3"/>
  <c r="G40" i="3"/>
  <c r="G41" i="3"/>
  <c r="G36" i="3"/>
  <c r="E37" i="3"/>
  <c r="E38" i="3"/>
  <c r="E39" i="3"/>
  <c r="E40" i="3"/>
  <c r="E41" i="3"/>
  <c r="E36" i="3"/>
  <c r="G27" i="3"/>
  <c r="G28" i="3"/>
  <c r="G29" i="3"/>
  <c r="G30" i="3"/>
  <c r="G31" i="3"/>
  <c r="G26" i="3"/>
  <c r="E27" i="3"/>
  <c r="E28" i="3"/>
  <c r="E29" i="3"/>
  <c r="E30" i="3"/>
  <c r="E31" i="3"/>
  <c r="E26" i="3"/>
  <c r="C67" i="3"/>
  <c r="C68" i="3"/>
  <c r="C69" i="3"/>
  <c r="C70" i="3"/>
  <c r="C71" i="3"/>
  <c r="C66" i="3"/>
  <c r="C57" i="3"/>
  <c r="C58" i="3"/>
  <c r="C59" i="3"/>
  <c r="C60" i="3"/>
  <c r="C61" i="3"/>
  <c r="C56" i="3"/>
  <c r="C47" i="3"/>
  <c r="C48" i="3"/>
  <c r="C49" i="3"/>
  <c r="C50" i="3"/>
  <c r="C51" i="3"/>
  <c r="C46" i="3"/>
  <c r="C37" i="3"/>
  <c r="C38" i="3"/>
  <c r="C39" i="3"/>
  <c r="C40" i="3"/>
  <c r="C41" i="3"/>
  <c r="C36" i="3"/>
  <c r="C27" i="3"/>
  <c r="C28" i="3"/>
  <c r="C29" i="3"/>
  <c r="C30" i="3"/>
  <c r="C31" i="3"/>
  <c r="C26" i="3"/>
  <c r="G22" i="3"/>
  <c r="G17" i="3"/>
  <c r="G18" i="3"/>
  <c r="G19" i="3"/>
  <c r="G20" i="3"/>
  <c r="G21" i="3"/>
  <c r="G16" i="3"/>
  <c r="E17" i="3"/>
  <c r="E18" i="3"/>
  <c r="E19" i="3"/>
  <c r="E20" i="3"/>
  <c r="E21" i="3"/>
  <c r="E16" i="3"/>
  <c r="D16" i="3"/>
  <c r="C17" i="3"/>
  <c r="C18" i="3"/>
  <c r="C19" i="3"/>
  <c r="C20" i="3"/>
  <c r="C21" i="3"/>
  <c r="C16" i="3"/>
  <c r="G72" i="2"/>
  <c r="G67" i="2"/>
  <c r="G68" i="2"/>
  <c r="G69" i="2"/>
  <c r="G70" i="2"/>
  <c r="G71" i="2"/>
  <c r="G66" i="2"/>
  <c r="E67" i="2"/>
  <c r="E68" i="2"/>
  <c r="E69" i="2"/>
  <c r="E70" i="2"/>
  <c r="E71" i="2"/>
  <c r="E66" i="2"/>
  <c r="D67" i="2"/>
  <c r="D68" i="2"/>
  <c r="D69" i="2"/>
  <c r="D70" i="2"/>
  <c r="D71" i="2"/>
  <c r="D66" i="2"/>
  <c r="C67" i="2"/>
  <c r="C68" i="2"/>
  <c r="C69" i="2"/>
  <c r="C70" i="2"/>
  <c r="C71" i="2"/>
  <c r="C66" i="2"/>
  <c r="G62" i="2"/>
  <c r="G57" i="2"/>
  <c r="G58" i="2"/>
  <c r="G59" i="2"/>
  <c r="G60" i="2"/>
  <c r="G61" i="2"/>
  <c r="G56" i="2"/>
  <c r="E57" i="2"/>
  <c r="E58" i="2"/>
  <c r="E59" i="2"/>
  <c r="E60" i="2"/>
  <c r="E61" i="2"/>
  <c r="E56" i="2"/>
  <c r="D60" i="2"/>
  <c r="D59" i="2"/>
  <c r="D58" i="2"/>
  <c r="D57" i="2"/>
  <c r="D56" i="2"/>
  <c r="C57" i="2"/>
  <c r="C58" i="2"/>
  <c r="C59" i="2"/>
  <c r="C60" i="2"/>
  <c r="C61" i="2"/>
  <c r="C56" i="2"/>
  <c r="G52" i="2"/>
  <c r="G47" i="2"/>
  <c r="G48" i="2"/>
  <c r="G49" i="2"/>
  <c r="G50" i="2"/>
  <c r="G51" i="2"/>
  <c r="G46" i="2"/>
  <c r="E47" i="2"/>
  <c r="E48" i="2"/>
  <c r="E49" i="2"/>
  <c r="E50" i="2"/>
  <c r="E51" i="2"/>
  <c r="E46" i="2"/>
  <c r="D49" i="2"/>
  <c r="D48" i="2"/>
  <c r="D47" i="2"/>
  <c r="E21" i="2"/>
  <c r="G21" i="2" s="1"/>
  <c r="D46" i="2"/>
  <c r="C47" i="2"/>
  <c r="C48" i="2"/>
  <c r="C49" i="2"/>
  <c r="C50" i="2"/>
  <c r="C51" i="2"/>
  <c r="C46" i="2"/>
  <c r="G42" i="2"/>
  <c r="G37" i="2"/>
  <c r="G38" i="2"/>
  <c r="G39" i="2"/>
  <c r="G40" i="2"/>
  <c r="G41" i="2"/>
  <c r="G36" i="2"/>
  <c r="E37" i="2"/>
  <c r="E38" i="2"/>
  <c r="E39" i="2"/>
  <c r="E40" i="2"/>
  <c r="E41" i="2"/>
  <c r="E36" i="2"/>
  <c r="E28" i="2"/>
  <c r="D37" i="2"/>
  <c r="D38" i="2"/>
  <c r="D39" i="2"/>
  <c r="D40" i="2"/>
  <c r="D41" i="2"/>
  <c r="D36" i="2"/>
  <c r="C37" i="2"/>
  <c r="C38" i="2"/>
  <c r="C39" i="2"/>
  <c r="C40" i="2"/>
  <c r="C41" i="2"/>
  <c r="C36" i="2"/>
  <c r="G27" i="2"/>
  <c r="G26" i="2"/>
  <c r="E27" i="2"/>
  <c r="G28" i="2"/>
  <c r="E29" i="2"/>
  <c r="G29" i="2" s="1"/>
  <c r="E30" i="2"/>
  <c r="G30" i="2" s="1"/>
  <c r="E31" i="2"/>
  <c r="G31" i="2" s="1"/>
  <c r="E26" i="2"/>
  <c r="D27" i="2"/>
  <c r="D26" i="2"/>
  <c r="C27" i="2"/>
  <c r="C28" i="2"/>
  <c r="C29" i="2"/>
  <c r="C30" i="2"/>
  <c r="C31" i="2"/>
  <c r="C26" i="2"/>
  <c r="G16" i="2"/>
  <c r="E17" i="2"/>
  <c r="G17" i="2" s="1"/>
  <c r="E18" i="2"/>
  <c r="G18" i="2" s="1"/>
  <c r="E19" i="2"/>
  <c r="G19" i="2" s="1"/>
  <c r="E20" i="2"/>
  <c r="G20" i="2" s="1"/>
  <c r="E16" i="2"/>
  <c r="D16" i="2"/>
  <c r="C16" i="2"/>
  <c r="G62" i="6"/>
  <c r="G72" i="6"/>
  <c r="G67" i="6"/>
  <c r="G68" i="6"/>
  <c r="G69" i="6"/>
  <c r="G70" i="6"/>
  <c r="G71" i="6"/>
  <c r="G66" i="6"/>
  <c r="E67" i="6"/>
  <c r="E68" i="6"/>
  <c r="E69" i="6"/>
  <c r="E70" i="6"/>
  <c r="E71" i="6"/>
  <c r="E66" i="6"/>
  <c r="D71" i="6"/>
  <c r="D70" i="6"/>
  <c r="D69" i="6"/>
  <c r="D68" i="6"/>
  <c r="D67" i="6"/>
  <c r="D66" i="6"/>
  <c r="C66" i="6"/>
  <c r="G57" i="6"/>
  <c r="G58" i="6"/>
  <c r="G59" i="6"/>
  <c r="G60" i="6"/>
  <c r="G61" i="6"/>
  <c r="G56" i="6"/>
  <c r="E57" i="6"/>
  <c r="E58" i="6"/>
  <c r="E59" i="6"/>
  <c r="E60" i="6"/>
  <c r="E61" i="6"/>
  <c r="E56" i="6"/>
  <c r="D60" i="6"/>
  <c r="D59" i="6"/>
  <c r="D58" i="6"/>
  <c r="D57" i="6"/>
  <c r="D56" i="6"/>
  <c r="C56" i="6"/>
  <c r="G52" i="6"/>
  <c r="G47" i="6"/>
  <c r="G48" i="6"/>
  <c r="G49" i="6"/>
  <c r="G50" i="6"/>
  <c r="G51" i="6"/>
  <c r="G46" i="6"/>
  <c r="E47" i="6"/>
  <c r="E48" i="6"/>
  <c r="E49" i="6"/>
  <c r="E50" i="6"/>
  <c r="E51" i="6"/>
  <c r="E46" i="6"/>
  <c r="D49" i="6"/>
  <c r="D48" i="6"/>
  <c r="D47" i="6"/>
  <c r="D46" i="6"/>
  <c r="C46" i="6"/>
  <c r="G42" i="6"/>
  <c r="G37" i="6"/>
  <c r="G38" i="6"/>
  <c r="G39" i="6"/>
  <c r="G40" i="6"/>
  <c r="G41" i="6"/>
  <c r="G36" i="6"/>
  <c r="E38" i="6"/>
  <c r="E39" i="6"/>
  <c r="E40" i="6"/>
  <c r="E41" i="6"/>
  <c r="E37" i="6"/>
  <c r="E36" i="6"/>
  <c r="D38" i="6"/>
  <c r="D37" i="6"/>
  <c r="D36" i="6"/>
  <c r="C36" i="6"/>
  <c r="G32" i="6"/>
  <c r="G27" i="6"/>
  <c r="G28" i="6"/>
  <c r="G29" i="6"/>
  <c r="G30" i="6"/>
  <c r="G31" i="6"/>
  <c r="G26" i="6"/>
  <c r="G16" i="6"/>
  <c r="G22" i="6" s="1"/>
  <c r="E27" i="6"/>
  <c r="E28" i="6"/>
  <c r="E29" i="6"/>
  <c r="E30" i="6"/>
  <c r="E31" i="6"/>
  <c r="E26" i="6"/>
  <c r="D27" i="6"/>
  <c r="D26" i="6"/>
  <c r="C26" i="6"/>
  <c r="E19" i="6"/>
  <c r="G17" i="1"/>
  <c r="G17" i="6"/>
  <c r="G18" i="6"/>
  <c r="G19" i="6"/>
  <c r="G20" i="6"/>
  <c r="G21" i="6"/>
  <c r="E18" i="1"/>
  <c r="E17" i="6"/>
  <c r="E18" i="6"/>
  <c r="E20" i="6"/>
  <c r="E21" i="6"/>
  <c r="E16" i="6"/>
  <c r="E17" i="1"/>
  <c r="D16" i="6"/>
  <c r="D18" i="1"/>
  <c r="D17" i="1"/>
  <c r="C16" i="6"/>
  <c r="C17" i="1"/>
  <c r="B17" i="1"/>
  <c r="C18" i="1"/>
  <c r="G32" i="4" l="1"/>
  <c r="G22" i="4"/>
  <c r="G32" i="2"/>
  <c r="G22" i="2"/>
  <c r="G62" i="1"/>
  <c r="B36" i="1"/>
  <c r="D36" i="1" s="1"/>
  <c r="C36" i="1"/>
  <c r="B37" i="1"/>
  <c r="C37" i="1"/>
  <c r="D37" i="1"/>
  <c r="E37" i="1" s="1"/>
  <c r="G37" i="1" s="1"/>
  <c r="B38" i="1"/>
  <c r="D39" i="1" s="1"/>
  <c r="C38" i="1"/>
  <c r="B39" i="1"/>
  <c r="C39" i="1"/>
  <c r="B40" i="1"/>
  <c r="C40" i="1"/>
  <c r="B41" i="1"/>
  <c r="C41" i="1"/>
  <c r="B16" i="1"/>
  <c r="G18" i="1" s="1"/>
  <c r="C16" i="1"/>
  <c r="B18" i="1"/>
  <c r="D19" i="1"/>
  <c r="C19" i="1"/>
  <c r="B20" i="1"/>
  <c r="C20" i="1"/>
  <c r="B21" i="1"/>
  <c r="D21" i="1" s="1"/>
  <c r="C21" i="1"/>
  <c r="C66" i="1"/>
  <c r="B71" i="1"/>
  <c r="D71" i="1" s="1"/>
  <c r="E71" i="1" s="1"/>
  <c r="G71" i="1" s="1"/>
  <c r="B70" i="1"/>
  <c r="D70" i="1" s="1"/>
  <c r="E70" i="1" s="1"/>
  <c r="G70" i="1" s="1"/>
  <c r="B69" i="1"/>
  <c r="D69" i="1" s="1"/>
  <c r="E69" i="1" s="1"/>
  <c r="G69" i="1" s="1"/>
  <c r="B68" i="1"/>
  <c r="D68" i="1" s="1"/>
  <c r="E68" i="1" s="1"/>
  <c r="G68" i="1" s="1"/>
  <c r="B67" i="1"/>
  <c r="D67" i="1" s="1"/>
  <c r="E67" i="1" s="1"/>
  <c r="G67" i="1" s="1"/>
  <c r="B66" i="1"/>
  <c r="D66" i="1" s="1"/>
  <c r="E61" i="1"/>
  <c r="G61" i="1" s="1"/>
  <c r="C56" i="1"/>
  <c r="B60" i="1"/>
  <c r="D60" i="1" s="1"/>
  <c r="E60" i="1" s="1"/>
  <c r="G60" i="1" s="1"/>
  <c r="B59" i="1"/>
  <c r="D59" i="1" s="1"/>
  <c r="E59" i="1" s="1"/>
  <c r="G59" i="1" s="1"/>
  <c r="B58" i="1"/>
  <c r="D58" i="1" s="1"/>
  <c r="E58" i="1" s="1"/>
  <c r="G58" i="1" s="1"/>
  <c r="B57" i="1"/>
  <c r="D57" i="1" s="1"/>
  <c r="E57" i="1" s="1"/>
  <c r="G57" i="1" s="1"/>
  <c r="B56" i="1"/>
  <c r="D56" i="1" s="1"/>
  <c r="E50" i="1"/>
  <c r="G50" i="1" s="1"/>
  <c r="E51" i="1"/>
  <c r="G51" i="1" s="1"/>
  <c r="C46" i="1"/>
  <c r="B49" i="1"/>
  <c r="D49" i="1" s="1"/>
  <c r="E49" i="1" s="1"/>
  <c r="G49" i="1" s="1"/>
  <c r="B48" i="1"/>
  <c r="D48" i="1" s="1"/>
  <c r="E48" i="1" s="1"/>
  <c r="G48" i="1" s="1"/>
  <c r="D47" i="1"/>
  <c r="E47" i="1" s="1"/>
  <c r="G47" i="1" s="1"/>
  <c r="B46" i="1"/>
  <c r="D46" i="1" s="1"/>
  <c r="C31" i="1"/>
  <c r="C30" i="1"/>
  <c r="C29" i="1"/>
  <c r="C28" i="1"/>
  <c r="C27" i="1"/>
  <c r="C26" i="1"/>
  <c r="B31" i="1"/>
  <c r="B30" i="1"/>
  <c r="B29" i="1"/>
  <c r="B28" i="1"/>
  <c r="D28" i="1" s="1"/>
  <c r="B27" i="1"/>
  <c r="D27" i="1" s="1"/>
  <c r="B26" i="1"/>
  <c r="D26" i="1" s="1"/>
  <c r="E36" i="1" l="1"/>
  <c r="G36" i="1" s="1"/>
  <c r="D20" i="1"/>
  <c r="E20" i="1" s="1"/>
  <c r="G20" i="1" s="1"/>
  <c r="D40" i="1"/>
  <c r="E21" i="1"/>
  <c r="G21" i="1" s="1"/>
  <c r="D41" i="1"/>
  <c r="D38" i="1"/>
  <c r="E39" i="1" s="1"/>
  <c r="G39" i="1" s="1"/>
  <c r="E16" i="1"/>
  <c r="G16" i="1" s="1"/>
  <c r="E19" i="1"/>
  <c r="G19" i="1" s="1"/>
  <c r="G22" i="1" s="1"/>
  <c r="D29" i="1"/>
  <c r="E29" i="1" s="1"/>
  <c r="G29" i="1" s="1"/>
  <c r="E66" i="1"/>
  <c r="G66" i="1" s="1"/>
  <c r="G72" i="1" s="1"/>
  <c r="E27" i="1"/>
  <c r="G27" i="1" s="1"/>
  <c r="E46" i="1"/>
  <c r="G46" i="1" s="1"/>
  <c r="G52" i="1" s="1"/>
  <c r="E56" i="1"/>
  <c r="G56" i="1" s="1"/>
  <c r="E26" i="1"/>
  <c r="G26" i="1" s="1"/>
  <c r="E28" i="1"/>
  <c r="G28" i="1" s="1"/>
  <c r="D30" i="1"/>
  <c r="E30" i="1" s="1"/>
  <c r="G30" i="1" s="1"/>
  <c r="D31" i="1"/>
  <c r="E31" i="1" s="1"/>
  <c r="G31" i="1" s="1"/>
  <c r="B78" i="1" l="1"/>
  <c r="E41" i="1"/>
  <c r="G41" i="1" s="1"/>
  <c r="E40" i="1"/>
  <c r="G40" i="1" s="1"/>
  <c r="E38" i="1"/>
  <c r="G38" i="1" s="1"/>
  <c r="G32" i="1"/>
  <c r="G42" i="1" l="1"/>
</calcChain>
</file>

<file path=xl/sharedStrings.xml><?xml version="1.0" encoding="utf-8"?>
<sst xmlns="http://schemas.openxmlformats.org/spreadsheetml/2006/main" count="625" uniqueCount="40">
  <si>
    <t>Parameter</t>
  </si>
  <si>
    <t>Value</t>
  </si>
  <si>
    <t>Profit per 1,000 chats (£)</t>
  </si>
  <si>
    <t>Server cost per PU per hour (£)</t>
  </si>
  <si>
    <t>PU capacity (thousand chats/hr)</t>
  </si>
  <si>
    <t>Demand levels (thousand chats/hr)</t>
  </si>
  <si>
    <t>40,60,80,100,120,140</t>
  </si>
  <si>
    <t>Probabilities</t>
  </si>
  <si>
    <t>0.15,0.15,0.25,0.25,0.15,0.05</t>
  </si>
  <si>
    <t>Capacity options (PUs)</t>
  </si>
  <si>
    <t>2,3,4,5,6,7</t>
  </si>
  <si>
    <t>Probability</t>
  </si>
  <si>
    <t>Demand level</t>
  </si>
  <si>
    <t>PU</t>
  </si>
  <si>
    <t>Cost</t>
  </si>
  <si>
    <t>Profit</t>
  </si>
  <si>
    <t>2 PU</t>
  </si>
  <si>
    <t>Revenue/hour</t>
  </si>
  <si>
    <t>Expected value(EV)</t>
  </si>
  <si>
    <t>Total</t>
  </si>
  <si>
    <t>3 PU</t>
  </si>
  <si>
    <t>Expected Value(EV)</t>
  </si>
  <si>
    <t>4 PU</t>
  </si>
  <si>
    <t>5 PU</t>
  </si>
  <si>
    <t>6 PU</t>
  </si>
  <si>
    <t>7 PU</t>
  </si>
  <si>
    <t>Proceeded chats</t>
  </si>
  <si>
    <t xml:space="preserve">Proceeded chats </t>
  </si>
  <si>
    <t>Expected Profit</t>
  </si>
  <si>
    <t>Profit_per_1000</t>
  </si>
  <si>
    <t>2PU_EV</t>
  </si>
  <si>
    <t>3PU_EV</t>
  </si>
  <si>
    <t>4PU_EV</t>
  </si>
  <si>
    <t>5PU_EV</t>
  </si>
  <si>
    <t>6PU_EV</t>
  </si>
  <si>
    <t>7PU_EV</t>
  </si>
  <si>
    <t>Best PU</t>
  </si>
  <si>
    <t>Best EV</t>
  </si>
  <si>
    <t>Cost_PU</t>
  </si>
  <si>
    <t>Demand 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</si>
</sst>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.0"/>
    <numFmt numFmtId="165" formatCode="_(* #,##0.00_);_(* \(#,##0.00\);_(* &quot;-&quot;_);_(@_)"/>
    <numFmt numFmtId="166" formatCode="_(* #,##0.000_);_(* \(#,##0.000\);_(* &quot;-&quot;_);_(@_)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 (Body)"/>
    </font>
    <font>
      <sz val="12"/>
      <color theme="1"/>
      <name val="Calibri (Body)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9BBB59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3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11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166" fontId="0" fillId="3" borderId="1" xfId="1" applyNumberFormat="1" applyFont="1" applyFill="1" applyBorder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opLeftCell="B76" zoomScale="110" zoomScaleNormal="94" workbookViewId="0">
      <selection activeCell="A24" sqref="A24:G32"/>
    </sheetView>
  </sheetViews>
  <sheetFormatPr baseColWidth="10" defaultColWidth="8.83203125" defaultRowHeight="15" x14ac:dyDescent="0.2"/>
  <cols>
    <col min="1" max="1" width="37.83203125" customWidth="1"/>
    <col min="2" max="2" width="38.33203125" customWidth="1"/>
    <col min="4" max="4" width="14.1640625" customWidth="1"/>
    <col min="5" max="5" width="10.5" customWidth="1"/>
    <col min="6" max="6" width="11.83203125" customWidth="1"/>
    <col min="7" max="7" width="17.5" customWidth="1"/>
    <col min="8" max="8" width="13.5" customWidth="1"/>
    <col min="9" max="9" width="12.1640625" customWidth="1"/>
    <col min="10" max="10" width="13.1640625" customWidth="1"/>
    <col min="11" max="11" width="12.33203125" customWidth="1"/>
  </cols>
  <sheetData>
    <row r="1" spans="1:7" ht="16" x14ac:dyDescent="0.2">
      <c r="A1" s="2" t="s">
        <v>0</v>
      </c>
      <c r="B1" s="2" t="s">
        <v>1</v>
      </c>
    </row>
    <row r="2" spans="1:7" ht="16" x14ac:dyDescent="0.2">
      <c r="A2" s="3" t="s">
        <v>2</v>
      </c>
      <c r="B2" s="3">
        <v>1.7</v>
      </c>
    </row>
    <row r="3" spans="1:7" ht="16" x14ac:dyDescent="0.2">
      <c r="A3" s="3" t="s">
        <v>3</v>
      </c>
      <c r="B3" s="3">
        <v>16000</v>
      </c>
    </row>
    <row r="4" spans="1:7" ht="16" x14ac:dyDescent="0.2">
      <c r="A4" s="3" t="s">
        <v>4</v>
      </c>
      <c r="B4" s="3">
        <v>20000</v>
      </c>
    </row>
    <row r="5" spans="1:7" ht="16" x14ac:dyDescent="0.2">
      <c r="A5" s="3" t="s">
        <v>5</v>
      </c>
      <c r="B5" s="3" t="s">
        <v>6</v>
      </c>
    </row>
    <row r="6" spans="1:7" ht="16" x14ac:dyDescent="0.2">
      <c r="A6" s="3" t="s">
        <v>7</v>
      </c>
      <c r="B6" s="3" t="s">
        <v>8</v>
      </c>
    </row>
    <row r="7" spans="1:7" ht="16" x14ac:dyDescent="0.2">
      <c r="A7" s="3" t="s">
        <v>9</v>
      </c>
      <c r="B7" s="3" t="s">
        <v>10</v>
      </c>
    </row>
    <row r="14" spans="1:7" x14ac:dyDescent="0.2">
      <c r="A14" s="41" t="s">
        <v>16</v>
      </c>
      <c r="B14" s="42"/>
      <c r="C14" s="42"/>
      <c r="D14" s="42"/>
      <c r="E14" s="42"/>
      <c r="F14" s="42"/>
      <c r="G14" s="43"/>
    </row>
    <row r="15" spans="1:7" x14ac:dyDescent="0.2">
      <c r="A15" s="5" t="s">
        <v>12</v>
      </c>
      <c r="B15" s="5" t="s">
        <v>26</v>
      </c>
      <c r="C15" s="5" t="s">
        <v>14</v>
      </c>
      <c r="D15" s="5" t="s">
        <v>17</v>
      </c>
      <c r="E15" s="5" t="s">
        <v>15</v>
      </c>
      <c r="F15" s="5" t="s">
        <v>11</v>
      </c>
      <c r="G15" s="5" t="s">
        <v>18</v>
      </c>
    </row>
    <row r="16" spans="1:7" x14ac:dyDescent="0.2">
      <c r="A16" s="6">
        <v>40000</v>
      </c>
      <c r="B16" s="6">
        <f>MIN(A16,40000)</f>
        <v>40000</v>
      </c>
      <c r="C16" s="6">
        <f>2*B3</f>
        <v>32000</v>
      </c>
      <c r="D16" s="6">
        <f>MIN(B16,A16)*B2</f>
        <v>68000</v>
      </c>
      <c r="E16" s="6">
        <f t="shared" ref="E16:E21" si="0">D16-C16</f>
        <v>36000</v>
      </c>
      <c r="F16" s="6">
        <v>0.15</v>
      </c>
      <c r="G16" s="6">
        <f>SUMPRODUCT(E16,F16)</f>
        <v>5400</v>
      </c>
    </row>
    <row r="17" spans="1:7" x14ac:dyDescent="0.2">
      <c r="A17" s="6">
        <v>60000</v>
      </c>
      <c r="B17" s="6">
        <f>MIN(A17,40000)</f>
        <v>40000</v>
      </c>
      <c r="C17" s="6">
        <f>2*B3</f>
        <v>32000</v>
      </c>
      <c r="D17" s="6">
        <f>MIN(B17,A16)*B2</f>
        <v>68000</v>
      </c>
      <c r="E17" s="6">
        <f>D17-C17</f>
        <v>36000</v>
      </c>
      <c r="F17" s="6">
        <v>0.15</v>
      </c>
      <c r="G17" s="6">
        <f>SUMPRODUCT(E17,F17)</f>
        <v>5400</v>
      </c>
    </row>
    <row r="18" spans="1:7" x14ac:dyDescent="0.2">
      <c r="A18" s="6">
        <v>80000</v>
      </c>
      <c r="B18" s="6">
        <f t="shared" ref="B18:B21" si="1">MIN(A18,40000)</f>
        <v>40000</v>
      </c>
      <c r="C18" s="6">
        <f>2*B3</f>
        <v>32000</v>
      </c>
      <c r="D18" s="6">
        <f>MIN(B16,A16)*B2</f>
        <v>68000</v>
      </c>
      <c r="E18" s="6">
        <f>D18-C18</f>
        <v>36000</v>
      </c>
      <c r="F18" s="6">
        <v>0.25</v>
      </c>
      <c r="G18" s="6">
        <f t="shared" ref="G18:G21" si="2">SUMPRODUCT(E18,F18)</f>
        <v>9000</v>
      </c>
    </row>
    <row r="19" spans="1:7" x14ac:dyDescent="0.2">
      <c r="A19" s="6">
        <v>100000</v>
      </c>
      <c r="B19" s="6">
        <f>MIN(A19,40000)</f>
        <v>40000</v>
      </c>
      <c r="C19" s="6">
        <f>2*B3</f>
        <v>32000</v>
      </c>
      <c r="D19" s="6">
        <f>MIN(B19,A16)*B2</f>
        <v>68000</v>
      </c>
      <c r="E19" s="6">
        <f t="shared" si="0"/>
        <v>36000</v>
      </c>
      <c r="F19" s="6">
        <v>0.25</v>
      </c>
      <c r="G19" s="6">
        <f>SUMPRODUCT(E19,F19)</f>
        <v>9000</v>
      </c>
    </row>
    <row r="20" spans="1:7" x14ac:dyDescent="0.2">
      <c r="A20" s="6">
        <v>120000</v>
      </c>
      <c r="B20" s="6">
        <f t="shared" si="1"/>
        <v>40000</v>
      </c>
      <c r="C20" s="6">
        <f>2*B3</f>
        <v>32000</v>
      </c>
      <c r="D20" s="6">
        <f>MIN(B16,A16)*B2</f>
        <v>68000</v>
      </c>
      <c r="E20" s="6">
        <f t="shared" si="0"/>
        <v>36000</v>
      </c>
      <c r="F20" s="6">
        <v>0.15</v>
      </c>
      <c r="G20" s="6">
        <f t="shared" si="2"/>
        <v>5400</v>
      </c>
    </row>
    <row r="21" spans="1:7" x14ac:dyDescent="0.2">
      <c r="A21" s="6">
        <v>140000</v>
      </c>
      <c r="B21" s="6">
        <f t="shared" si="1"/>
        <v>40000</v>
      </c>
      <c r="C21" s="6">
        <f>2*B3</f>
        <v>32000</v>
      </c>
      <c r="D21" s="6">
        <f>MIN(B21,A16)*B2</f>
        <v>68000</v>
      </c>
      <c r="E21" s="6">
        <f t="shared" si="0"/>
        <v>36000</v>
      </c>
      <c r="F21" s="6">
        <v>0.05</v>
      </c>
      <c r="G21" s="6">
        <f t="shared" si="2"/>
        <v>1800</v>
      </c>
    </row>
    <row r="22" spans="1:7" x14ac:dyDescent="0.2">
      <c r="A22" s="44"/>
      <c r="B22" s="45"/>
      <c r="C22" s="45"/>
      <c r="D22" s="45"/>
      <c r="E22" s="46"/>
      <c r="F22" s="5" t="s">
        <v>19</v>
      </c>
      <c r="G22" s="7">
        <f>SUM(G16:G21)</f>
        <v>36000</v>
      </c>
    </row>
    <row r="24" spans="1:7" x14ac:dyDescent="0.2">
      <c r="A24" s="47" t="s">
        <v>20</v>
      </c>
      <c r="B24" s="47"/>
      <c r="C24" s="47"/>
      <c r="D24" s="47"/>
      <c r="E24" s="47"/>
      <c r="F24" s="47"/>
      <c r="G24" s="47"/>
    </row>
    <row r="25" spans="1:7" x14ac:dyDescent="0.2">
      <c r="A25" s="5" t="s">
        <v>12</v>
      </c>
      <c r="B25" s="5" t="s">
        <v>26</v>
      </c>
      <c r="C25" s="5" t="s">
        <v>14</v>
      </c>
      <c r="D25" s="5" t="s">
        <v>17</v>
      </c>
      <c r="E25" s="5" t="s">
        <v>15</v>
      </c>
      <c r="F25" s="5" t="s">
        <v>11</v>
      </c>
      <c r="G25" s="5" t="s">
        <v>21</v>
      </c>
    </row>
    <row r="26" spans="1:7" x14ac:dyDescent="0.2">
      <c r="A26" s="6">
        <v>40000</v>
      </c>
      <c r="B26" s="6">
        <f>MIN(A26,A26)</f>
        <v>40000</v>
      </c>
      <c r="C26" s="6">
        <f>3*B3</f>
        <v>48000</v>
      </c>
      <c r="D26" s="6">
        <f>MIN(A26,B26)*B2</f>
        <v>68000</v>
      </c>
      <c r="E26" s="6">
        <f t="shared" ref="E26:E31" si="3">D26-C26</f>
        <v>20000</v>
      </c>
      <c r="F26" s="6">
        <v>0.15</v>
      </c>
      <c r="G26" s="6">
        <f>SUMPRODUCT(F26,E26)</f>
        <v>3000</v>
      </c>
    </row>
    <row r="27" spans="1:7" x14ac:dyDescent="0.2">
      <c r="A27" s="6">
        <v>60000</v>
      </c>
      <c r="B27" s="6">
        <f>MIN(A27,A27)</f>
        <v>60000</v>
      </c>
      <c r="C27" s="6">
        <f>3*B3</f>
        <v>48000</v>
      </c>
      <c r="D27" s="6">
        <f>MIN(A27,B27)*B2</f>
        <v>102000</v>
      </c>
      <c r="E27" s="6">
        <f t="shared" si="3"/>
        <v>54000</v>
      </c>
      <c r="F27" s="6">
        <v>0.15</v>
      </c>
      <c r="G27" s="6">
        <f t="shared" ref="G27:G31" si="4">SUMPRODUCT(F27,E27)</f>
        <v>8100</v>
      </c>
    </row>
    <row r="28" spans="1:7" x14ac:dyDescent="0.2">
      <c r="A28" s="6">
        <v>80000</v>
      </c>
      <c r="B28" s="6">
        <f>MIN(A27,A27)</f>
        <v>60000</v>
      </c>
      <c r="C28" s="6">
        <f>3*B3</f>
        <v>48000</v>
      </c>
      <c r="D28" s="6">
        <f>MIN(A27,B28)*B2</f>
        <v>102000</v>
      </c>
      <c r="E28" s="6">
        <f t="shared" si="3"/>
        <v>54000</v>
      </c>
      <c r="F28" s="6">
        <v>0.25</v>
      </c>
      <c r="G28" s="6">
        <f t="shared" si="4"/>
        <v>13500</v>
      </c>
    </row>
    <row r="29" spans="1:7" x14ac:dyDescent="0.2">
      <c r="A29" s="6">
        <v>100000</v>
      </c>
      <c r="B29" s="6">
        <f>MIN(A27,A27)</f>
        <v>60000</v>
      </c>
      <c r="C29" s="6">
        <f>3*B3</f>
        <v>48000</v>
      </c>
      <c r="D29" s="6">
        <f>MIN(A27,B28)*B2</f>
        <v>102000</v>
      </c>
      <c r="E29" s="6">
        <f t="shared" si="3"/>
        <v>54000</v>
      </c>
      <c r="F29" s="6">
        <v>0.25</v>
      </c>
      <c r="G29" s="6">
        <f t="shared" si="4"/>
        <v>13500</v>
      </c>
    </row>
    <row r="30" spans="1:7" x14ac:dyDescent="0.2">
      <c r="A30" s="6">
        <v>120000</v>
      </c>
      <c r="B30" s="6">
        <f>MIN(A27,A27)</f>
        <v>60000</v>
      </c>
      <c r="C30" s="6">
        <f>3*B3</f>
        <v>48000</v>
      </c>
      <c r="D30" s="6">
        <f>MIN(A27,B28)*B2</f>
        <v>102000</v>
      </c>
      <c r="E30" s="6">
        <f t="shared" si="3"/>
        <v>54000</v>
      </c>
      <c r="F30" s="6">
        <v>0.15</v>
      </c>
      <c r="G30" s="6">
        <f t="shared" si="4"/>
        <v>8100</v>
      </c>
    </row>
    <row r="31" spans="1:7" x14ac:dyDescent="0.2">
      <c r="A31" s="6">
        <v>140000</v>
      </c>
      <c r="B31" s="6">
        <f>MIN(A27,A27)</f>
        <v>60000</v>
      </c>
      <c r="C31" s="6">
        <f>3*B3</f>
        <v>48000</v>
      </c>
      <c r="D31" s="6">
        <f>MIN(A27,B28)*B2</f>
        <v>102000</v>
      </c>
      <c r="E31" s="6">
        <f t="shared" si="3"/>
        <v>54000</v>
      </c>
      <c r="F31" s="6">
        <v>0.05</v>
      </c>
      <c r="G31" s="6">
        <f t="shared" si="4"/>
        <v>2700</v>
      </c>
    </row>
    <row r="32" spans="1:7" x14ac:dyDescent="0.2">
      <c r="A32" s="44"/>
      <c r="B32" s="45"/>
      <c r="C32" s="45"/>
      <c r="D32" s="45"/>
      <c r="E32" s="46"/>
      <c r="F32" s="5" t="s">
        <v>19</v>
      </c>
      <c r="G32" s="7">
        <f>SUM(G26:G31)</f>
        <v>48900</v>
      </c>
    </row>
    <row r="33" spans="1:7" x14ac:dyDescent="0.2">
      <c r="A33" s="4"/>
      <c r="B33" s="4"/>
      <c r="C33" s="4"/>
      <c r="D33" s="4"/>
      <c r="E33" s="4"/>
      <c r="F33" s="4"/>
      <c r="G33" s="4"/>
    </row>
    <row r="34" spans="1:7" x14ac:dyDescent="0.2">
      <c r="A34" s="47" t="s">
        <v>22</v>
      </c>
      <c r="B34" s="47"/>
      <c r="C34" s="47"/>
      <c r="D34" s="47"/>
      <c r="E34" s="47"/>
      <c r="F34" s="47"/>
      <c r="G34" s="47"/>
    </row>
    <row r="35" spans="1:7" x14ac:dyDescent="0.2">
      <c r="A35" s="5" t="s">
        <v>12</v>
      </c>
      <c r="B35" s="5" t="s">
        <v>26</v>
      </c>
      <c r="C35" s="5" t="s">
        <v>14</v>
      </c>
      <c r="D35" s="5" t="s">
        <v>17</v>
      </c>
      <c r="E35" s="5" t="s">
        <v>15</v>
      </c>
      <c r="F35" s="5" t="s">
        <v>11</v>
      </c>
      <c r="G35" s="5" t="s">
        <v>21</v>
      </c>
    </row>
    <row r="36" spans="1:7" x14ac:dyDescent="0.2">
      <c r="A36" s="6">
        <v>40000</v>
      </c>
      <c r="B36" s="6">
        <f>MIN(A36,A36)</f>
        <v>40000</v>
      </c>
      <c r="C36" s="6">
        <f>4*B3</f>
        <v>64000</v>
      </c>
      <c r="D36" s="6">
        <f>MIN(B36,A36)*B2</f>
        <v>68000</v>
      </c>
      <c r="E36" s="6">
        <f>D36-C36</f>
        <v>4000</v>
      </c>
      <c r="F36" s="6">
        <v>0.15</v>
      </c>
      <c r="G36" s="6">
        <f>SUMPRODUCT(E36,F36)</f>
        <v>600</v>
      </c>
    </row>
    <row r="37" spans="1:7" x14ac:dyDescent="0.2">
      <c r="A37" s="6">
        <v>60000</v>
      </c>
      <c r="B37" s="6">
        <f>MIN(A37,A37)</f>
        <v>60000</v>
      </c>
      <c r="C37" s="6">
        <f>4*B3</f>
        <v>64000</v>
      </c>
      <c r="D37" s="6">
        <f>MIN(A37,B37)*B2</f>
        <v>102000</v>
      </c>
      <c r="E37" s="6">
        <f>D37-C37</f>
        <v>38000</v>
      </c>
      <c r="F37" s="6">
        <v>0.15</v>
      </c>
      <c r="G37" s="6">
        <f t="shared" ref="G37:G41" si="5">SUMPRODUCT(E37,F37)</f>
        <v>5700</v>
      </c>
    </row>
    <row r="38" spans="1:7" x14ac:dyDescent="0.2">
      <c r="A38" s="6">
        <v>80000</v>
      </c>
      <c r="B38" s="6">
        <f>MIN(A38,A38)</f>
        <v>80000</v>
      </c>
      <c r="C38" s="6">
        <f>4*B3</f>
        <v>64000</v>
      </c>
      <c r="D38" s="6">
        <f>MIN(A38,B38)*B2</f>
        <v>136000</v>
      </c>
      <c r="E38" s="6">
        <f>D38-C38</f>
        <v>72000</v>
      </c>
      <c r="F38" s="6">
        <v>0.25</v>
      </c>
      <c r="G38" s="6">
        <f t="shared" si="5"/>
        <v>18000</v>
      </c>
    </row>
    <row r="39" spans="1:7" x14ac:dyDescent="0.2">
      <c r="A39" s="6">
        <v>100000</v>
      </c>
      <c r="B39" s="6">
        <f>MIN(A38,A38)</f>
        <v>80000</v>
      </c>
      <c r="C39" s="6">
        <f>4*B3</f>
        <v>64000</v>
      </c>
      <c r="D39" s="6">
        <f>MIN(A38,B38)*B2</f>
        <v>136000</v>
      </c>
      <c r="E39" s="6">
        <f>D38-C38</f>
        <v>72000</v>
      </c>
      <c r="F39" s="6">
        <v>0.25</v>
      </c>
      <c r="G39" s="6">
        <f t="shared" si="5"/>
        <v>18000</v>
      </c>
    </row>
    <row r="40" spans="1:7" x14ac:dyDescent="0.2">
      <c r="A40" s="6">
        <v>120000</v>
      </c>
      <c r="B40" s="6">
        <f>MIN(A38,A38)</f>
        <v>80000</v>
      </c>
      <c r="C40" s="6">
        <f>4*B3</f>
        <v>64000</v>
      </c>
      <c r="D40" s="6">
        <f>MIN(A38,B38)*B2</f>
        <v>136000</v>
      </c>
      <c r="E40" s="6">
        <f>D38-C38</f>
        <v>72000</v>
      </c>
      <c r="F40" s="6">
        <v>0.15</v>
      </c>
      <c r="G40" s="6">
        <f t="shared" si="5"/>
        <v>10800</v>
      </c>
    </row>
    <row r="41" spans="1:7" x14ac:dyDescent="0.2">
      <c r="A41" s="6">
        <v>140000</v>
      </c>
      <c r="B41" s="6">
        <f>MIN(A38,A38)</f>
        <v>80000</v>
      </c>
      <c r="C41" s="6">
        <f>4*B3</f>
        <v>64000</v>
      </c>
      <c r="D41" s="6">
        <f>MIN(A38,B38)*B2</f>
        <v>136000</v>
      </c>
      <c r="E41" s="6">
        <f>D38-C38</f>
        <v>72000</v>
      </c>
      <c r="F41" s="6">
        <v>0.05</v>
      </c>
      <c r="G41" s="6">
        <f t="shared" si="5"/>
        <v>3600</v>
      </c>
    </row>
    <row r="42" spans="1:7" x14ac:dyDescent="0.2">
      <c r="A42" s="40"/>
      <c r="B42" s="40"/>
      <c r="C42" s="40"/>
      <c r="D42" s="40"/>
      <c r="E42" s="40"/>
      <c r="F42" s="5" t="s">
        <v>19</v>
      </c>
      <c r="G42" s="9">
        <f>SUM(G36:G41)</f>
        <v>56700</v>
      </c>
    </row>
    <row r="43" spans="1:7" x14ac:dyDescent="0.2">
      <c r="A43" s="4"/>
      <c r="B43" s="4"/>
      <c r="C43" s="4"/>
      <c r="D43" s="4"/>
      <c r="E43" s="4"/>
      <c r="F43" s="4"/>
      <c r="G43" s="4"/>
    </row>
    <row r="44" spans="1:7" x14ac:dyDescent="0.2">
      <c r="A44" s="47" t="s">
        <v>23</v>
      </c>
      <c r="B44" s="47"/>
      <c r="C44" s="47"/>
      <c r="D44" s="47"/>
      <c r="E44" s="47"/>
      <c r="F44" s="47"/>
      <c r="G44" s="47"/>
    </row>
    <row r="45" spans="1:7" x14ac:dyDescent="0.2">
      <c r="A45" s="5" t="s">
        <v>12</v>
      </c>
      <c r="B45" s="5" t="s">
        <v>26</v>
      </c>
      <c r="C45" s="5" t="s">
        <v>14</v>
      </c>
      <c r="D45" s="5" t="s">
        <v>17</v>
      </c>
      <c r="E45" s="5" t="s">
        <v>15</v>
      </c>
      <c r="F45" s="5" t="s">
        <v>11</v>
      </c>
      <c r="G45" s="5" t="s">
        <v>21</v>
      </c>
    </row>
    <row r="46" spans="1:7" x14ac:dyDescent="0.2">
      <c r="A46" s="6">
        <v>40000</v>
      </c>
      <c r="B46" s="6">
        <f>MIN(A46,A46)</f>
        <v>40000</v>
      </c>
      <c r="C46" s="6">
        <f>5*B3</f>
        <v>80000</v>
      </c>
      <c r="D46" s="6">
        <f>MIN(B46,A46)*B2</f>
        <v>68000</v>
      </c>
      <c r="E46" s="6">
        <f t="shared" ref="E46:E51" si="6">D46-C46</f>
        <v>-12000</v>
      </c>
      <c r="F46" s="6">
        <v>0.15</v>
      </c>
      <c r="G46" s="6">
        <f>SUMPRODUCT(F46,E46)</f>
        <v>-1800</v>
      </c>
    </row>
    <row r="47" spans="1:7" x14ac:dyDescent="0.2">
      <c r="A47" s="6">
        <v>60000</v>
      </c>
      <c r="B47" s="6">
        <f>MIN(A47,A47)</f>
        <v>60000</v>
      </c>
      <c r="C47" s="8">
        <v>80000</v>
      </c>
      <c r="D47" s="6">
        <f>MIN(A47,B47)*B2</f>
        <v>102000</v>
      </c>
      <c r="E47" s="6">
        <f t="shared" si="6"/>
        <v>22000</v>
      </c>
      <c r="F47" s="6">
        <v>0.15</v>
      </c>
      <c r="G47" s="6">
        <f>SUMPRODUCT(F47,E47)</f>
        <v>3300</v>
      </c>
    </row>
    <row r="48" spans="1:7" x14ac:dyDescent="0.2">
      <c r="A48" s="6">
        <v>80000</v>
      </c>
      <c r="B48" s="6">
        <f>MIN(A48,A48)</f>
        <v>80000</v>
      </c>
      <c r="C48" s="8">
        <v>80000</v>
      </c>
      <c r="D48" s="6">
        <f>MIN(A48,B48)*B2</f>
        <v>136000</v>
      </c>
      <c r="E48" s="6">
        <f t="shared" si="6"/>
        <v>56000</v>
      </c>
      <c r="F48" s="6">
        <v>0.25</v>
      </c>
      <c r="G48" s="6">
        <f t="shared" ref="G48:G51" si="7">SUMPRODUCT(F48,E48)</f>
        <v>14000</v>
      </c>
    </row>
    <row r="49" spans="1:7" x14ac:dyDescent="0.2">
      <c r="A49" s="6">
        <v>100000</v>
      </c>
      <c r="B49" s="6">
        <f>MIN(A49,A49)</f>
        <v>100000</v>
      </c>
      <c r="C49" s="8">
        <v>80000</v>
      </c>
      <c r="D49" s="6">
        <f>MIN(A49,B49)*B2</f>
        <v>170000</v>
      </c>
      <c r="E49" s="6">
        <f t="shared" si="6"/>
        <v>90000</v>
      </c>
      <c r="F49" s="6">
        <v>0.25</v>
      </c>
      <c r="G49" s="6">
        <f t="shared" si="7"/>
        <v>22500</v>
      </c>
    </row>
    <row r="50" spans="1:7" x14ac:dyDescent="0.2">
      <c r="A50" s="6">
        <v>120000</v>
      </c>
      <c r="B50" s="8">
        <v>100000</v>
      </c>
      <c r="C50" s="8">
        <v>80000</v>
      </c>
      <c r="D50" s="8">
        <v>170000</v>
      </c>
      <c r="E50" s="6">
        <f t="shared" si="6"/>
        <v>90000</v>
      </c>
      <c r="F50" s="6">
        <v>0.15</v>
      </c>
      <c r="G50" s="6">
        <f t="shared" si="7"/>
        <v>13500</v>
      </c>
    </row>
    <row r="51" spans="1:7" x14ac:dyDescent="0.2">
      <c r="A51" s="6">
        <v>140000</v>
      </c>
      <c r="B51" s="8">
        <v>100000</v>
      </c>
      <c r="C51" s="8">
        <v>80000</v>
      </c>
      <c r="D51" s="8">
        <v>170000</v>
      </c>
      <c r="E51" s="6">
        <f t="shared" si="6"/>
        <v>90000</v>
      </c>
      <c r="F51" s="6">
        <v>0.05</v>
      </c>
      <c r="G51" s="6">
        <f t="shared" si="7"/>
        <v>4500</v>
      </c>
    </row>
    <row r="52" spans="1:7" x14ac:dyDescent="0.2">
      <c r="A52" s="44"/>
      <c r="B52" s="45"/>
      <c r="C52" s="45"/>
      <c r="D52" s="45"/>
      <c r="E52" s="46"/>
      <c r="F52" s="5" t="s">
        <v>19</v>
      </c>
      <c r="G52" s="7">
        <f>SUM(G46:G51)</f>
        <v>56000</v>
      </c>
    </row>
    <row r="53" spans="1:7" x14ac:dyDescent="0.2">
      <c r="A53" s="4"/>
      <c r="B53" s="4"/>
      <c r="C53" s="4"/>
      <c r="D53" s="4"/>
      <c r="E53" s="4"/>
      <c r="F53" s="4"/>
      <c r="G53" s="4"/>
    </row>
    <row r="54" spans="1:7" x14ac:dyDescent="0.2">
      <c r="A54" s="47" t="s">
        <v>24</v>
      </c>
      <c r="B54" s="47"/>
      <c r="C54" s="47"/>
      <c r="D54" s="47"/>
      <c r="E54" s="47"/>
      <c r="F54" s="47"/>
      <c r="G54" s="47"/>
    </row>
    <row r="55" spans="1:7" x14ac:dyDescent="0.2">
      <c r="A55" s="5" t="s">
        <v>12</v>
      </c>
      <c r="B55" s="5" t="s">
        <v>26</v>
      </c>
      <c r="C55" s="5" t="s">
        <v>14</v>
      </c>
      <c r="D55" s="5" t="s">
        <v>17</v>
      </c>
      <c r="E55" s="5" t="s">
        <v>15</v>
      </c>
      <c r="F55" s="5" t="s">
        <v>11</v>
      </c>
      <c r="G55" s="5" t="s">
        <v>21</v>
      </c>
    </row>
    <row r="56" spans="1:7" x14ac:dyDescent="0.2">
      <c r="A56" s="6">
        <v>40000</v>
      </c>
      <c r="B56" s="6">
        <f>MIN(A56,A56)</f>
        <v>40000</v>
      </c>
      <c r="C56" s="6">
        <f>6*B3</f>
        <v>96000</v>
      </c>
      <c r="D56" s="6">
        <f>MIN(B56,A56)*B2</f>
        <v>68000</v>
      </c>
      <c r="E56" s="6">
        <f t="shared" ref="E56:E61" si="8">D56-C56</f>
        <v>-28000</v>
      </c>
      <c r="F56" s="6">
        <v>0.15</v>
      </c>
      <c r="G56" s="6">
        <f>SUMPRODUCT(F56,E56)</f>
        <v>-4200</v>
      </c>
    </row>
    <row r="57" spans="1:7" x14ac:dyDescent="0.2">
      <c r="A57" s="6">
        <v>60000</v>
      </c>
      <c r="B57" s="6">
        <f>MIN(A57,A57)</f>
        <v>60000</v>
      </c>
      <c r="C57" s="8">
        <v>96000</v>
      </c>
      <c r="D57" s="6">
        <f>MIN(A57,B57)*B2</f>
        <v>102000</v>
      </c>
      <c r="E57" s="6">
        <f t="shared" si="8"/>
        <v>6000</v>
      </c>
      <c r="F57" s="6">
        <v>0.15</v>
      </c>
      <c r="G57" s="6">
        <f t="shared" ref="G57:G61" si="9">SUMPRODUCT(F57,E57)</f>
        <v>900</v>
      </c>
    </row>
    <row r="58" spans="1:7" x14ac:dyDescent="0.2">
      <c r="A58" s="6">
        <v>80000</v>
      </c>
      <c r="B58" s="6">
        <f>MIN(A58,A58)</f>
        <v>80000</v>
      </c>
      <c r="C58" s="8">
        <v>96000</v>
      </c>
      <c r="D58" s="6">
        <f>MIN(A58,B58)*B2</f>
        <v>136000</v>
      </c>
      <c r="E58" s="6">
        <f t="shared" si="8"/>
        <v>40000</v>
      </c>
      <c r="F58" s="6">
        <v>0.25</v>
      </c>
      <c r="G58" s="6">
        <f t="shared" si="9"/>
        <v>10000</v>
      </c>
    </row>
    <row r="59" spans="1:7" x14ac:dyDescent="0.2">
      <c r="A59" s="6">
        <v>100000</v>
      </c>
      <c r="B59" s="6">
        <f>MIN(A59,A59)</f>
        <v>100000</v>
      </c>
      <c r="C59" s="8">
        <v>96000</v>
      </c>
      <c r="D59" s="6">
        <f>MIN(A59,B59)*B2</f>
        <v>170000</v>
      </c>
      <c r="E59" s="6">
        <f t="shared" si="8"/>
        <v>74000</v>
      </c>
      <c r="F59" s="6">
        <v>0.25</v>
      </c>
      <c r="G59" s="6">
        <f t="shared" si="9"/>
        <v>18500</v>
      </c>
    </row>
    <row r="60" spans="1:7" x14ac:dyDescent="0.2">
      <c r="A60" s="6">
        <v>120000</v>
      </c>
      <c r="B60" s="6">
        <f>MIN(A60,A60)</f>
        <v>120000</v>
      </c>
      <c r="C60" s="8">
        <v>96000</v>
      </c>
      <c r="D60" s="6">
        <f>MIN(A60,B60)*B2</f>
        <v>204000</v>
      </c>
      <c r="E60" s="6">
        <f t="shared" si="8"/>
        <v>108000</v>
      </c>
      <c r="F60" s="6">
        <v>0.15</v>
      </c>
      <c r="G60" s="6">
        <f t="shared" si="9"/>
        <v>16200</v>
      </c>
    </row>
    <row r="61" spans="1:7" x14ac:dyDescent="0.2">
      <c r="A61" s="6">
        <v>140000</v>
      </c>
      <c r="B61" s="8">
        <v>120000</v>
      </c>
      <c r="C61" s="8">
        <v>96000</v>
      </c>
      <c r="D61" s="8">
        <v>204000</v>
      </c>
      <c r="E61" s="6">
        <f t="shared" si="8"/>
        <v>108000</v>
      </c>
      <c r="F61" s="6">
        <v>0.05</v>
      </c>
      <c r="G61" s="6">
        <f t="shared" si="9"/>
        <v>5400</v>
      </c>
    </row>
    <row r="62" spans="1:7" x14ac:dyDescent="0.2">
      <c r="A62" s="40"/>
      <c r="B62" s="40"/>
      <c r="C62" s="40"/>
      <c r="D62" s="40"/>
      <c r="E62" s="40"/>
      <c r="F62" s="5" t="s">
        <v>19</v>
      </c>
      <c r="G62" s="7">
        <f>SUM(G56:G61)</f>
        <v>46800</v>
      </c>
    </row>
    <row r="63" spans="1:7" x14ac:dyDescent="0.2">
      <c r="A63" s="4"/>
      <c r="B63" s="4"/>
      <c r="C63" s="4"/>
      <c r="D63" s="4"/>
      <c r="E63" s="4"/>
      <c r="F63" s="4"/>
      <c r="G63" s="4"/>
    </row>
    <row r="64" spans="1:7" x14ac:dyDescent="0.2">
      <c r="A64" s="47" t="s">
        <v>25</v>
      </c>
      <c r="B64" s="47"/>
      <c r="C64" s="47"/>
      <c r="D64" s="47"/>
      <c r="E64" s="47"/>
      <c r="F64" s="47"/>
      <c r="G64" s="47"/>
    </row>
    <row r="65" spans="1:7" x14ac:dyDescent="0.2">
      <c r="A65" s="5" t="s">
        <v>12</v>
      </c>
      <c r="B65" s="5" t="s">
        <v>27</v>
      </c>
      <c r="C65" s="5" t="s">
        <v>14</v>
      </c>
      <c r="D65" s="5" t="s">
        <v>17</v>
      </c>
      <c r="E65" s="5" t="s">
        <v>15</v>
      </c>
      <c r="F65" s="5" t="s">
        <v>11</v>
      </c>
      <c r="G65" s="5" t="s">
        <v>21</v>
      </c>
    </row>
    <row r="66" spans="1:7" x14ac:dyDescent="0.2">
      <c r="A66" s="6">
        <v>40000</v>
      </c>
      <c r="B66" s="6">
        <f t="shared" ref="B66:B71" si="10">MIN(A66,A66)</f>
        <v>40000</v>
      </c>
      <c r="C66" s="6">
        <f>7*B3</f>
        <v>112000</v>
      </c>
      <c r="D66" s="6">
        <f>MIN(B66,A66)*B2</f>
        <v>68000</v>
      </c>
      <c r="E66" s="6">
        <f t="shared" ref="E66:E71" si="11">D66-C66</f>
        <v>-44000</v>
      </c>
      <c r="F66" s="6">
        <v>0.15</v>
      </c>
      <c r="G66" s="6">
        <f>SUMPRODUCT(F66,E66)</f>
        <v>-6600</v>
      </c>
    </row>
    <row r="67" spans="1:7" x14ac:dyDescent="0.2">
      <c r="A67" s="6">
        <v>60000</v>
      </c>
      <c r="B67" s="6">
        <f t="shared" si="10"/>
        <v>60000</v>
      </c>
      <c r="C67" s="8">
        <v>112000</v>
      </c>
      <c r="D67" s="6">
        <f>B67*B2</f>
        <v>102000</v>
      </c>
      <c r="E67" s="6">
        <f t="shared" si="11"/>
        <v>-10000</v>
      </c>
      <c r="F67" s="6">
        <v>0.15</v>
      </c>
      <c r="G67" s="6">
        <f t="shared" ref="G67:G71" si="12">SUMPRODUCT(F67,E67)</f>
        <v>-1500</v>
      </c>
    </row>
    <row r="68" spans="1:7" x14ac:dyDescent="0.2">
      <c r="A68" s="6">
        <v>80000</v>
      </c>
      <c r="B68" s="6">
        <f t="shared" si="10"/>
        <v>80000</v>
      </c>
      <c r="C68" s="8">
        <v>112000</v>
      </c>
      <c r="D68" s="6">
        <f>B68*B2</f>
        <v>136000</v>
      </c>
      <c r="E68" s="6">
        <f t="shared" si="11"/>
        <v>24000</v>
      </c>
      <c r="F68" s="6">
        <v>0.25</v>
      </c>
      <c r="G68" s="6">
        <f t="shared" si="12"/>
        <v>6000</v>
      </c>
    </row>
    <row r="69" spans="1:7" x14ac:dyDescent="0.2">
      <c r="A69" s="6">
        <v>100000</v>
      </c>
      <c r="B69" s="6">
        <f t="shared" si="10"/>
        <v>100000</v>
      </c>
      <c r="C69" s="8">
        <v>112000</v>
      </c>
      <c r="D69" s="6">
        <f>B69*B2</f>
        <v>170000</v>
      </c>
      <c r="E69" s="6">
        <f t="shared" si="11"/>
        <v>58000</v>
      </c>
      <c r="F69" s="6">
        <v>0.25</v>
      </c>
      <c r="G69" s="6">
        <f t="shared" si="12"/>
        <v>14500</v>
      </c>
    </row>
    <row r="70" spans="1:7" x14ac:dyDescent="0.2">
      <c r="A70" s="6">
        <v>120000</v>
      </c>
      <c r="B70" s="6">
        <f t="shared" si="10"/>
        <v>120000</v>
      </c>
      <c r="C70" s="8">
        <v>112000</v>
      </c>
      <c r="D70" s="6">
        <f>B70*B2</f>
        <v>204000</v>
      </c>
      <c r="E70" s="6">
        <f t="shared" si="11"/>
        <v>92000</v>
      </c>
      <c r="F70" s="6">
        <v>0.15</v>
      </c>
      <c r="G70" s="6">
        <f t="shared" si="12"/>
        <v>13800</v>
      </c>
    </row>
    <row r="71" spans="1:7" x14ac:dyDescent="0.2">
      <c r="A71" s="6">
        <v>140000</v>
      </c>
      <c r="B71" s="6">
        <f t="shared" si="10"/>
        <v>140000</v>
      </c>
      <c r="C71" s="8">
        <v>112000</v>
      </c>
      <c r="D71" s="6">
        <f>B71*B2</f>
        <v>238000</v>
      </c>
      <c r="E71" s="6">
        <f t="shared" si="11"/>
        <v>126000</v>
      </c>
      <c r="F71" s="6">
        <v>0.05</v>
      </c>
      <c r="G71" s="6">
        <f t="shared" si="12"/>
        <v>6300</v>
      </c>
    </row>
    <row r="72" spans="1:7" x14ac:dyDescent="0.2">
      <c r="A72" s="40"/>
      <c r="B72" s="40"/>
      <c r="C72" s="40"/>
      <c r="D72" s="40"/>
      <c r="E72" s="40"/>
      <c r="F72" s="5" t="s">
        <v>19</v>
      </c>
      <c r="G72" s="7">
        <f>SUM(G66:G71)</f>
        <v>32500</v>
      </c>
    </row>
    <row r="77" spans="1:7" x14ac:dyDescent="0.2">
      <c r="A77" s="5" t="s">
        <v>12</v>
      </c>
      <c r="B77" s="5" t="s">
        <v>28</v>
      </c>
      <c r="C77" s="5" t="s">
        <v>13</v>
      </c>
    </row>
    <row r="78" spans="1:7" x14ac:dyDescent="0.2">
      <c r="A78" s="6">
        <v>40000</v>
      </c>
      <c r="B78" s="7">
        <f>SUM(G16:G21)</f>
        <v>36000</v>
      </c>
      <c r="C78" s="6">
        <v>2</v>
      </c>
    </row>
    <row r="79" spans="1:7" x14ac:dyDescent="0.2">
      <c r="A79" s="6">
        <v>60000</v>
      </c>
      <c r="B79" s="7">
        <v>48900</v>
      </c>
      <c r="C79" s="6">
        <v>3</v>
      </c>
    </row>
    <row r="80" spans="1:7" x14ac:dyDescent="0.2">
      <c r="A80" s="27">
        <v>80000</v>
      </c>
      <c r="B80" s="10">
        <v>56700</v>
      </c>
      <c r="C80" s="27">
        <v>4</v>
      </c>
    </row>
    <row r="81" spans="1:3" x14ac:dyDescent="0.2">
      <c r="A81" s="6">
        <v>100000</v>
      </c>
      <c r="B81" s="7">
        <v>56000</v>
      </c>
      <c r="C81" s="6">
        <v>5</v>
      </c>
    </row>
    <row r="82" spans="1:3" x14ac:dyDescent="0.2">
      <c r="A82" s="6">
        <v>120000</v>
      </c>
      <c r="B82" s="7">
        <v>46800</v>
      </c>
      <c r="C82" s="6">
        <v>6</v>
      </c>
    </row>
    <row r="83" spans="1:3" x14ac:dyDescent="0.2">
      <c r="A83" s="6">
        <v>140000</v>
      </c>
      <c r="B83" s="7">
        <v>32500</v>
      </c>
      <c r="C83" s="6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41B7-1EB5-6B44-939E-6C36078CEE6E}">
  <dimension ref="A1:G83"/>
  <sheetViews>
    <sheetView workbookViewId="0">
      <selection activeCell="A29" sqref="A29"/>
    </sheetView>
  </sheetViews>
  <sheetFormatPr baseColWidth="10" defaultRowHeight="15" x14ac:dyDescent="0.2"/>
  <cols>
    <col min="1" max="1" width="34.6640625" customWidth="1"/>
    <col min="2" max="2" width="28.83203125" customWidth="1"/>
    <col min="3" max="3" width="9.83203125" customWidth="1"/>
    <col min="4" max="4" width="13.6640625" customWidth="1"/>
    <col min="5" max="5" width="9.6640625" customWidth="1"/>
    <col min="7" max="7" width="18" customWidth="1"/>
    <col min="8" max="8" width="14.1640625" customWidth="1"/>
    <col min="9" max="9" width="15.1640625" customWidth="1"/>
    <col min="10" max="10" width="16" customWidth="1"/>
    <col min="11" max="11" width="18.6640625" customWidth="1"/>
    <col min="12" max="12" width="17" customWidth="1"/>
    <col min="13" max="13" width="17.5" customWidth="1"/>
    <col min="14" max="14" width="20.1640625" customWidth="1"/>
  </cols>
  <sheetData>
    <row r="1" spans="1:7" ht="16" x14ac:dyDescent="0.2">
      <c r="A1" s="11" t="s">
        <v>0</v>
      </c>
      <c r="B1" s="12" t="s">
        <v>1</v>
      </c>
    </row>
    <row r="2" spans="1:7" ht="16" x14ac:dyDescent="0.2">
      <c r="A2" s="13" t="s">
        <v>2</v>
      </c>
      <c r="B2" s="14">
        <v>1.5</v>
      </c>
    </row>
    <row r="3" spans="1:7" ht="16" x14ac:dyDescent="0.2">
      <c r="A3" s="13" t="s">
        <v>3</v>
      </c>
      <c r="B3" s="14">
        <v>14000</v>
      </c>
    </row>
    <row r="4" spans="1:7" ht="16" x14ac:dyDescent="0.2">
      <c r="A4" s="13" t="s">
        <v>4</v>
      </c>
      <c r="B4" s="14">
        <v>20000</v>
      </c>
    </row>
    <row r="5" spans="1:7" ht="16" x14ac:dyDescent="0.2">
      <c r="A5" s="13" t="s">
        <v>5</v>
      </c>
      <c r="B5" s="14" t="s">
        <v>6</v>
      </c>
    </row>
    <row r="6" spans="1:7" ht="16" x14ac:dyDescent="0.2">
      <c r="A6" s="13" t="s">
        <v>7</v>
      </c>
      <c r="B6" s="14" t="s">
        <v>8</v>
      </c>
    </row>
    <row r="7" spans="1:7" ht="16" x14ac:dyDescent="0.2">
      <c r="A7" s="13" t="s">
        <v>9</v>
      </c>
      <c r="B7" s="14" t="s">
        <v>10</v>
      </c>
    </row>
    <row r="10" spans="1:7" ht="16" x14ac:dyDescent="0.2">
      <c r="A10" s="15"/>
      <c r="B10" s="15"/>
    </row>
    <row r="11" spans="1:7" x14ac:dyDescent="0.2">
      <c r="A11" s="16"/>
    </row>
    <row r="14" spans="1:7" x14ac:dyDescent="0.2">
      <c r="A14" s="51" t="s">
        <v>16</v>
      </c>
      <c r="B14" s="52"/>
      <c r="C14" s="52"/>
      <c r="D14" s="52"/>
      <c r="E14" s="52"/>
      <c r="F14" s="52"/>
      <c r="G14" s="53"/>
    </row>
    <row r="15" spans="1:7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7" x14ac:dyDescent="0.2">
      <c r="A16" s="19">
        <v>40000</v>
      </c>
      <c r="B16" s="22">
        <v>40000</v>
      </c>
      <c r="C16" s="22">
        <f>2*B3</f>
        <v>28000</v>
      </c>
      <c r="D16" s="22">
        <f>MIN(A16,A16)*B2</f>
        <v>60000</v>
      </c>
      <c r="E16" s="22">
        <f>D16-C16</f>
        <v>32000</v>
      </c>
      <c r="F16" s="22">
        <v>0.15</v>
      </c>
      <c r="G16" s="22">
        <f>SUMPRODUCT(E16,F16)</f>
        <v>4800</v>
      </c>
    </row>
    <row r="17" spans="1:7" x14ac:dyDescent="0.2">
      <c r="A17" s="19">
        <v>60000</v>
      </c>
      <c r="B17" s="22">
        <v>40000</v>
      </c>
      <c r="C17" s="22">
        <v>28000</v>
      </c>
      <c r="D17" s="22">
        <v>60000</v>
      </c>
      <c r="E17" s="22">
        <f t="shared" ref="E17:E21" si="0">D17-C17</f>
        <v>32000</v>
      </c>
      <c r="F17" s="22">
        <v>0.15</v>
      </c>
      <c r="G17" s="22">
        <f t="shared" ref="G17:G21" si="1">SUMPRODUCT(E17,F17)</f>
        <v>4800</v>
      </c>
    </row>
    <row r="18" spans="1:7" x14ac:dyDescent="0.2">
      <c r="A18" s="19">
        <v>80000</v>
      </c>
      <c r="B18" s="22">
        <v>40000</v>
      </c>
      <c r="C18" s="22">
        <v>28000</v>
      </c>
      <c r="D18" s="22">
        <v>60000</v>
      </c>
      <c r="E18" s="22">
        <f t="shared" si="0"/>
        <v>32000</v>
      </c>
      <c r="F18" s="22">
        <v>0.25</v>
      </c>
      <c r="G18" s="22">
        <f t="shared" si="1"/>
        <v>8000</v>
      </c>
    </row>
    <row r="19" spans="1:7" x14ac:dyDescent="0.2">
      <c r="A19" s="19">
        <v>100000</v>
      </c>
      <c r="B19" s="22">
        <v>40000</v>
      </c>
      <c r="C19" s="22">
        <v>28000</v>
      </c>
      <c r="D19" s="22">
        <v>60000</v>
      </c>
      <c r="E19" s="22">
        <f>D19-C19</f>
        <v>32000</v>
      </c>
      <c r="F19" s="22">
        <v>0.25</v>
      </c>
      <c r="G19" s="22">
        <f t="shared" si="1"/>
        <v>8000</v>
      </c>
    </row>
    <row r="20" spans="1:7" x14ac:dyDescent="0.2">
      <c r="A20" s="19">
        <v>120000</v>
      </c>
      <c r="B20" s="22">
        <v>40000</v>
      </c>
      <c r="C20" s="22">
        <v>28000</v>
      </c>
      <c r="D20" s="22">
        <v>60000</v>
      </c>
      <c r="E20" s="22">
        <f t="shared" si="0"/>
        <v>32000</v>
      </c>
      <c r="F20" s="22">
        <v>0.15</v>
      </c>
      <c r="G20" s="22">
        <f t="shared" si="1"/>
        <v>4800</v>
      </c>
    </row>
    <row r="21" spans="1:7" x14ac:dyDescent="0.2">
      <c r="A21" s="19">
        <v>140000</v>
      </c>
      <c r="B21" s="22">
        <v>40000</v>
      </c>
      <c r="C21" s="22">
        <v>28000</v>
      </c>
      <c r="D21" s="22">
        <v>60000</v>
      </c>
      <c r="E21" s="22">
        <f t="shared" si="0"/>
        <v>32000</v>
      </c>
      <c r="F21" s="22">
        <v>0.05</v>
      </c>
      <c r="G21" s="22">
        <f t="shared" si="1"/>
        <v>1600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32000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5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3*B3</f>
        <v>42000</v>
      </c>
      <c r="D26" s="22">
        <f>MIN(A26,A26)*B2</f>
        <v>60000</v>
      </c>
      <c r="E26" s="22">
        <f>D26-C26</f>
        <v>18000</v>
      </c>
      <c r="F26" s="22">
        <v>0.15</v>
      </c>
      <c r="G26" s="22">
        <f>SUMPRODUCT(E26,F26)</f>
        <v>2700</v>
      </c>
    </row>
    <row r="27" spans="1:7" x14ac:dyDescent="0.2">
      <c r="A27" s="19">
        <v>60000</v>
      </c>
      <c r="B27" s="22">
        <v>60000</v>
      </c>
      <c r="C27" s="22">
        <v>42000</v>
      </c>
      <c r="D27" s="22">
        <f>MIN(A27,A27)*B2</f>
        <v>90000</v>
      </c>
      <c r="E27" s="22">
        <f t="shared" ref="E27:E31" si="2">D27-C27</f>
        <v>48000</v>
      </c>
      <c r="F27" s="22">
        <v>0.15</v>
      </c>
      <c r="G27" s="22">
        <f t="shared" ref="G27:G31" si="3">SUMPRODUCT(E27,F27)</f>
        <v>7200</v>
      </c>
    </row>
    <row r="28" spans="1:7" x14ac:dyDescent="0.2">
      <c r="A28" s="19">
        <v>80000</v>
      </c>
      <c r="B28" s="22">
        <v>60000</v>
      </c>
      <c r="C28" s="22">
        <v>42000</v>
      </c>
      <c r="D28" s="22">
        <v>90000</v>
      </c>
      <c r="E28" s="22">
        <f t="shared" si="2"/>
        <v>48000</v>
      </c>
      <c r="F28" s="22">
        <v>0.25</v>
      </c>
      <c r="G28" s="22">
        <f t="shared" si="3"/>
        <v>12000</v>
      </c>
    </row>
    <row r="29" spans="1:7" x14ac:dyDescent="0.2">
      <c r="A29" s="19">
        <v>100000</v>
      </c>
      <c r="B29" s="22">
        <v>60000</v>
      </c>
      <c r="C29" s="22">
        <v>42000</v>
      </c>
      <c r="D29" s="22">
        <v>90000</v>
      </c>
      <c r="E29" s="22">
        <f t="shared" si="2"/>
        <v>48000</v>
      </c>
      <c r="F29" s="22">
        <v>0.25</v>
      </c>
      <c r="G29" s="22">
        <f t="shared" si="3"/>
        <v>12000</v>
      </c>
    </row>
    <row r="30" spans="1:7" x14ac:dyDescent="0.2">
      <c r="A30" s="19">
        <v>120000</v>
      </c>
      <c r="B30" s="22">
        <v>60000</v>
      </c>
      <c r="C30" s="22">
        <v>42000</v>
      </c>
      <c r="D30" s="22">
        <v>90000</v>
      </c>
      <c r="E30" s="22">
        <f t="shared" si="2"/>
        <v>48000</v>
      </c>
      <c r="F30" s="22">
        <v>0.15</v>
      </c>
      <c r="G30" s="22">
        <f t="shared" si="3"/>
        <v>7200</v>
      </c>
    </row>
    <row r="31" spans="1:7" x14ac:dyDescent="0.2">
      <c r="A31" s="19">
        <v>140000</v>
      </c>
      <c r="B31" s="22">
        <v>60000</v>
      </c>
      <c r="C31" s="22">
        <v>42000</v>
      </c>
      <c r="D31" s="22">
        <v>90000</v>
      </c>
      <c r="E31" s="22">
        <f t="shared" si="2"/>
        <v>48000</v>
      </c>
      <c r="F31" s="22">
        <v>0.05</v>
      </c>
      <c r="G31" s="22">
        <f t="shared" si="3"/>
        <v>2400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43500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5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4*B3</f>
        <v>56000</v>
      </c>
      <c r="D36" s="22">
        <f>MIN(A36,A36)*B2</f>
        <v>60000</v>
      </c>
      <c r="E36" s="22">
        <f>D36-C36</f>
        <v>4000</v>
      </c>
      <c r="F36" s="22">
        <v>0.15</v>
      </c>
      <c r="G36" s="22">
        <f>SUMPRODUCT(E36,F36)</f>
        <v>600</v>
      </c>
    </row>
    <row r="37" spans="1:7" x14ac:dyDescent="0.2">
      <c r="A37" s="19">
        <v>60000</v>
      </c>
      <c r="B37" s="22">
        <v>60000</v>
      </c>
      <c r="C37" s="22">
        <v>56000</v>
      </c>
      <c r="D37" s="22">
        <f>MIN(A37,A37)*B2</f>
        <v>90000</v>
      </c>
      <c r="E37" s="22">
        <f>D37-C37</f>
        <v>34000</v>
      </c>
      <c r="F37" s="22">
        <v>0.15</v>
      </c>
      <c r="G37" s="22">
        <f t="shared" ref="G37:G41" si="4">SUMPRODUCT(E37,F37)</f>
        <v>5100</v>
      </c>
    </row>
    <row r="38" spans="1:7" x14ac:dyDescent="0.2">
      <c r="A38" s="19">
        <v>80000</v>
      </c>
      <c r="B38" s="22">
        <v>80000</v>
      </c>
      <c r="C38" s="22">
        <v>56000</v>
      </c>
      <c r="D38" s="22">
        <f>MIN(A38,A38)*B2</f>
        <v>120000</v>
      </c>
      <c r="E38" s="22">
        <f t="shared" ref="E38:E41" si="5">D38-C38</f>
        <v>64000</v>
      </c>
      <c r="F38" s="22">
        <v>0.25</v>
      </c>
      <c r="G38" s="22">
        <f t="shared" si="4"/>
        <v>16000</v>
      </c>
    </row>
    <row r="39" spans="1:7" x14ac:dyDescent="0.2">
      <c r="A39" s="19">
        <v>100000</v>
      </c>
      <c r="B39" s="22">
        <v>80000</v>
      </c>
      <c r="C39" s="22">
        <v>56000</v>
      </c>
      <c r="D39" s="22">
        <v>120000</v>
      </c>
      <c r="E39" s="22">
        <f t="shared" si="5"/>
        <v>64000</v>
      </c>
      <c r="F39" s="22">
        <v>0.25</v>
      </c>
      <c r="G39" s="22">
        <f t="shared" si="4"/>
        <v>16000</v>
      </c>
    </row>
    <row r="40" spans="1:7" x14ac:dyDescent="0.2">
      <c r="A40" s="19">
        <v>120000</v>
      </c>
      <c r="B40" s="22">
        <v>80000</v>
      </c>
      <c r="C40" s="22">
        <v>56000</v>
      </c>
      <c r="D40" s="22">
        <v>120000</v>
      </c>
      <c r="E40" s="22">
        <f t="shared" si="5"/>
        <v>64000</v>
      </c>
      <c r="F40" s="22">
        <v>0.15</v>
      </c>
      <c r="G40" s="22">
        <f t="shared" si="4"/>
        <v>9600</v>
      </c>
    </row>
    <row r="41" spans="1:7" x14ac:dyDescent="0.2">
      <c r="A41" s="19">
        <v>140000</v>
      </c>
      <c r="B41" s="22">
        <v>80000</v>
      </c>
      <c r="C41" s="22">
        <v>56000</v>
      </c>
      <c r="D41" s="22">
        <v>120000</v>
      </c>
      <c r="E41" s="22">
        <f t="shared" si="5"/>
        <v>64000</v>
      </c>
      <c r="F41" s="22">
        <v>0.05</v>
      </c>
      <c r="G41" s="22">
        <f t="shared" si="4"/>
        <v>3200</v>
      </c>
    </row>
    <row r="42" spans="1:7" x14ac:dyDescent="0.2">
      <c r="A42" s="48"/>
      <c r="B42" s="49"/>
      <c r="C42" s="49"/>
      <c r="D42" s="49"/>
      <c r="E42" s="50"/>
      <c r="F42" s="21" t="s">
        <v>19</v>
      </c>
      <c r="G42" s="28">
        <f>SUM(G36:G41)</f>
        <v>50500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5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5*B3</f>
        <v>70000</v>
      </c>
      <c r="D46" s="22">
        <f>MIN(A46,B46)*B2</f>
        <v>60000</v>
      </c>
      <c r="E46" s="22">
        <f>D46-C46</f>
        <v>-10000</v>
      </c>
      <c r="F46" s="22">
        <v>0.15</v>
      </c>
      <c r="G46" s="22">
        <f>SUMPRODUCT(F46,E46)</f>
        <v>-1500</v>
      </c>
    </row>
    <row r="47" spans="1:7" x14ac:dyDescent="0.2">
      <c r="A47" s="19">
        <v>60000</v>
      </c>
      <c r="B47" s="22">
        <v>60000</v>
      </c>
      <c r="C47" s="22">
        <v>70000</v>
      </c>
      <c r="D47" s="22">
        <f>MIN(A47,B47)*B2</f>
        <v>90000</v>
      </c>
      <c r="E47" s="22">
        <f t="shared" ref="E47:E51" si="6">D47-C47</f>
        <v>20000</v>
      </c>
      <c r="F47" s="22">
        <v>0.15</v>
      </c>
      <c r="G47" s="22">
        <f t="shared" ref="G47:G51" si="7">SUMPRODUCT(F47,E47)</f>
        <v>3000</v>
      </c>
    </row>
    <row r="48" spans="1:7" x14ac:dyDescent="0.2">
      <c r="A48" s="19">
        <v>80000</v>
      </c>
      <c r="B48" s="22">
        <v>80000</v>
      </c>
      <c r="C48" s="22">
        <v>70000</v>
      </c>
      <c r="D48" s="6">
        <f>MIN(B48,A48)*B2</f>
        <v>120000</v>
      </c>
      <c r="E48" s="22">
        <f t="shared" si="6"/>
        <v>50000</v>
      </c>
      <c r="F48" s="22">
        <v>0.25</v>
      </c>
      <c r="G48" s="22">
        <f t="shared" si="7"/>
        <v>12500</v>
      </c>
    </row>
    <row r="49" spans="1:7" x14ac:dyDescent="0.2">
      <c r="A49" s="19">
        <v>100000</v>
      </c>
      <c r="B49" s="22">
        <v>100000</v>
      </c>
      <c r="C49" s="22">
        <v>70000</v>
      </c>
      <c r="D49" s="22">
        <f>MIN(A49,A49)*B2</f>
        <v>150000</v>
      </c>
      <c r="E49" s="22">
        <f t="shared" si="6"/>
        <v>80000</v>
      </c>
      <c r="F49" s="22">
        <v>0.25</v>
      </c>
      <c r="G49" s="22">
        <f t="shared" si="7"/>
        <v>20000</v>
      </c>
    </row>
    <row r="50" spans="1:7" x14ac:dyDescent="0.2">
      <c r="A50" s="19">
        <v>120000</v>
      </c>
      <c r="B50" s="22">
        <v>100000</v>
      </c>
      <c r="C50" s="22">
        <v>70000</v>
      </c>
      <c r="D50" s="22">
        <v>150000</v>
      </c>
      <c r="E50" s="22">
        <f t="shared" si="6"/>
        <v>80000</v>
      </c>
      <c r="F50" s="22">
        <v>0.15</v>
      </c>
      <c r="G50" s="22">
        <f t="shared" si="7"/>
        <v>12000</v>
      </c>
    </row>
    <row r="51" spans="1:7" x14ac:dyDescent="0.2">
      <c r="A51" s="19">
        <v>140000</v>
      </c>
      <c r="B51" s="22">
        <v>100000</v>
      </c>
      <c r="C51" s="22">
        <v>70000</v>
      </c>
      <c r="D51" s="22">
        <v>150000</v>
      </c>
      <c r="E51" s="22">
        <f t="shared" si="6"/>
        <v>80000</v>
      </c>
      <c r="F51" s="22">
        <v>0.05</v>
      </c>
      <c r="G51" s="22">
        <f t="shared" si="7"/>
        <v>4000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4">
        <f>SUM(G46:G51)</f>
        <v>50000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5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6*B3</f>
        <v>84000</v>
      </c>
      <c r="D56" s="22">
        <f>MIN(A56,A56)*B2</f>
        <v>60000</v>
      </c>
      <c r="E56" s="22">
        <f>D56-C56</f>
        <v>-24000</v>
      </c>
      <c r="F56" s="22">
        <v>0.15</v>
      </c>
      <c r="G56" s="22">
        <f>SUMPRODUCT(F56,E56)</f>
        <v>-3600</v>
      </c>
    </row>
    <row r="57" spans="1:7" x14ac:dyDescent="0.2">
      <c r="A57" s="19">
        <v>60000</v>
      </c>
      <c r="B57" s="22">
        <v>60000</v>
      </c>
      <c r="C57" s="22">
        <v>84000</v>
      </c>
      <c r="D57" s="22">
        <f>MIN(A57,A57)*B2</f>
        <v>90000</v>
      </c>
      <c r="E57" s="22">
        <f t="shared" ref="E57:E61" si="8">D57-C57</f>
        <v>6000</v>
      </c>
      <c r="F57" s="22">
        <v>0.15</v>
      </c>
      <c r="G57" s="22">
        <f t="shared" ref="G57:G61" si="9">SUMPRODUCT(F57,E57)</f>
        <v>900</v>
      </c>
    </row>
    <row r="58" spans="1:7" x14ac:dyDescent="0.2">
      <c r="A58" s="19">
        <v>80000</v>
      </c>
      <c r="B58" s="22">
        <v>80000</v>
      </c>
      <c r="C58" s="22">
        <v>84000</v>
      </c>
      <c r="D58" s="22">
        <f>MIN(A58,A58)*B2</f>
        <v>120000</v>
      </c>
      <c r="E58" s="22">
        <f t="shared" si="8"/>
        <v>36000</v>
      </c>
      <c r="F58" s="22">
        <v>0.25</v>
      </c>
      <c r="G58" s="22">
        <f t="shared" si="9"/>
        <v>9000</v>
      </c>
    </row>
    <row r="59" spans="1:7" x14ac:dyDescent="0.2">
      <c r="A59" s="19">
        <v>100000</v>
      </c>
      <c r="B59" s="22">
        <v>100000</v>
      </c>
      <c r="C59" s="22">
        <v>84000</v>
      </c>
      <c r="D59" s="22">
        <f>MIN(A59,A59)*B2</f>
        <v>150000</v>
      </c>
      <c r="E59" s="22">
        <f t="shared" si="8"/>
        <v>66000</v>
      </c>
      <c r="F59" s="22">
        <v>0.25</v>
      </c>
      <c r="G59" s="22">
        <f t="shared" si="9"/>
        <v>16500</v>
      </c>
    </row>
    <row r="60" spans="1:7" x14ac:dyDescent="0.2">
      <c r="A60" s="19">
        <v>120000</v>
      </c>
      <c r="B60" s="22">
        <v>120000</v>
      </c>
      <c r="C60" s="22">
        <v>84000</v>
      </c>
      <c r="D60" s="22">
        <f>MIN(A60,B60)*B2</f>
        <v>180000</v>
      </c>
      <c r="E60" s="22">
        <f t="shared" si="8"/>
        <v>96000</v>
      </c>
      <c r="F60" s="22">
        <v>0.15</v>
      </c>
      <c r="G60" s="22">
        <f t="shared" si="9"/>
        <v>14400</v>
      </c>
    </row>
    <row r="61" spans="1:7" x14ac:dyDescent="0.2">
      <c r="A61" s="19">
        <v>140000</v>
      </c>
      <c r="B61" s="22">
        <v>120000</v>
      </c>
      <c r="C61" s="22">
        <v>84000</v>
      </c>
      <c r="D61" s="22">
        <v>180000</v>
      </c>
      <c r="E61" s="22">
        <f t="shared" si="8"/>
        <v>96000</v>
      </c>
      <c r="F61" s="22">
        <v>0.05</v>
      </c>
      <c r="G61" s="22">
        <f t="shared" si="9"/>
        <v>4800</v>
      </c>
    </row>
    <row r="62" spans="1:7" x14ac:dyDescent="0.2">
      <c r="A62" s="48"/>
      <c r="B62" s="49"/>
      <c r="C62" s="49"/>
      <c r="D62" s="49"/>
      <c r="E62" s="50"/>
      <c r="F62" s="21" t="s">
        <v>19</v>
      </c>
      <c r="G62" s="24">
        <f>SUM(G56:G61)</f>
        <v>42000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5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7*B3</f>
        <v>98000</v>
      </c>
      <c r="D66" s="22">
        <f>MIN(A66,A66)*1.5</f>
        <v>60000</v>
      </c>
      <c r="E66" s="22">
        <f>D66-C66</f>
        <v>-38000</v>
      </c>
      <c r="F66" s="22">
        <v>0.15</v>
      </c>
      <c r="G66" s="22">
        <f>SUMPRODUCT(F66,E66)</f>
        <v>-5700</v>
      </c>
    </row>
    <row r="67" spans="1:7" x14ac:dyDescent="0.2">
      <c r="A67" s="19">
        <v>60000</v>
      </c>
      <c r="B67" s="22">
        <v>60000</v>
      </c>
      <c r="C67" s="22">
        <v>98000</v>
      </c>
      <c r="D67" s="22">
        <f>MIN(A67,A67)*1.5</f>
        <v>90000</v>
      </c>
      <c r="E67" s="22">
        <f t="shared" ref="E67:E71" si="10">D67-C67</f>
        <v>-8000</v>
      </c>
      <c r="F67" s="22">
        <v>0.15</v>
      </c>
      <c r="G67" s="22">
        <f t="shared" ref="G67:G71" si="11">SUMPRODUCT(F67,E67)</f>
        <v>-1200</v>
      </c>
    </row>
    <row r="68" spans="1:7" x14ac:dyDescent="0.2">
      <c r="A68" s="19">
        <v>80000</v>
      </c>
      <c r="B68" s="22">
        <v>80000</v>
      </c>
      <c r="C68" s="22">
        <v>98000</v>
      </c>
      <c r="D68" s="22">
        <f>MIN(A68,B68)*1.5</f>
        <v>120000</v>
      </c>
      <c r="E68" s="22">
        <f t="shared" si="10"/>
        <v>22000</v>
      </c>
      <c r="F68" s="22">
        <v>0.25</v>
      </c>
      <c r="G68" s="22">
        <f t="shared" si="11"/>
        <v>5500</v>
      </c>
    </row>
    <row r="69" spans="1:7" x14ac:dyDescent="0.2">
      <c r="A69" s="19">
        <v>100000</v>
      </c>
      <c r="B69" s="22">
        <v>100000</v>
      </c>
      <c r="C69" s="22">
        <v>98000</v>
      </c>
      <c r="D69" s="22">
        <f>MIN(A69,B69)*1.5</f>
        <v>150000</v>
      </c>
      <c r="E69" s="22">
        <f t="shared" si="10"/>
        <v>52000</v>
      </c>
      <c r="F69" s="22">
        <v>0.25</v>
      </c>
      <c r="G69" s="22">
        <f t="shared" si="11"/>
        <v>13000</v>
      </c>
    </row>
    <row r="70" spans="1:7" x14ac:dyDescent="0.2">
      <c r="A70" s="19">
        <v>120000</v>
      </c>
      <c r="B70" s="22">
        <v>120000</v>
      </c>
      <c r="C70" s="22">
        <v>98000</v>
      </c>
      <c r="D70" s="22">
        <f>MIN(A70,B70)*1.5</f>
        <v>180000</v>
      </c>
      <c r="E70" s="22">
        <f t="shared" si="10"/>
        <v>82000</v>
      </c>
      <c r="F70" s="22">
        <v>0.15</v>
      </c>
      <c r="G70" s="22">
        <f t="shared" si="11"/>
        <v>12300</v>
      </c>
    </row>
    <row r="71" spans="1:7" x14ac:dyDescent="0.2">
      <c r="A71" s="19">
        <v>140000</v>
      </c>
      <c r="B71" s="22">
        <v>140000</v>
      </c>
      <c r="C71" s="22">
        <v>98000</v>
      </c>
      <c r="D71" s="22">
        <f>MIN(A71,A71)*1.5</f>
        <v>210000</v>
      </c>
      <c r="E71" s="22">
        <f t="shared" si="10"/>
        <v>112000</v>
      </c>
      <c r="F71" s="22">
        <v>0.05</v>
      </c>
      <c r="G71" s="22">
        <f t="shared" si="11"/>
        <v>5600</v>
      </c>
    </row>
    <row r="72" spans="1:7" x14ac:dyDescent="0.2">
      <c r="A72" s="48"/>
      <c r="B72" s="49"/>
      <c r="C72" s="49"/>
      <c r="D72" s="49"/>
      <c r="E72" s="50"/>
      <c r="F72" s="21" t="s">
        <v>19</v>
      </c>
      <c r="G72" s="24">
        <f>SUM(G66:G71)</f>
        <v>29500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32000</v>
      </c>
      <c r="C78" s="22">
        <v>2</v>
      </c>
    </row>
    <row r="79" spans="1:7" x14ac:dyDescent="0.2">
      <c r="A79" s="19">
        <v>60000</v>
      </c>
      <c r="B79" s="24">
        <v>43500</v>
      </c>
      <c r="C79" s="22">
        <v>3</v>
      </c>
    </row>
    <row r="80" spans="1:7" x14ac:dyDescent="0.2">
      <c r="A80" s="29">
        <v>80000</v>
      </c>
      <c r="B80" s="25">
        <v>50500</v>
      </c>
      <c r="C80" s="30">
        <v>4</v>
      </c>
    </row>
    <row r="81" spans="1:3" x14ac:dyDescent="0.2">
      <c r="A81" s="19">
        <v>100000</v>
      </c>
      <c r="B81" s="24">
        <v>50000</v>
      </c>
      <c r="C81" s="22">
        <v>5</v>
      </c>
    </row>
    <row r="82" spans="1:3" x14ac:dyDescent="0.2">
      <c r="A82" s="19">
        <v>120000</v>
      </c>
      <c r="B82" s="24">
        <v>42000</v>
      </c>
      <c r="C82" s="22">
        <v>6</v>
      </c>
    </row>
    <row r="83" spans="1:3" x14ac:dyDescent="0.2">
      <c r="A83" s="19">
        <v>140000</v>
      </c>
      <c r="B83" s="24">
        <v>29500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"/>
  <sheetViews>
    <sheetView workbookViewId="0">
      <selection activeCell="C66" sqref="C66:C71"/>
    </sheetView>
  </sheetViews>
  <sheetFormatPr baseColWidth="10" defaultColWidth="8.83203125" defaultRowHeight="15" x14ac:dyDescent="0.2"/>
  <cols>
    <col min="1" max="1" width="34.6640625" customWidth="1"/>
    <col min="2" max="2" width="29.5" customWidth="1"/>
    <col min="4" max="4" width="17.1640625" customWidth="1"/>
    <col min="5" max="5" width="12" customWidth="1"/>
    <col min="6" max="6" width="12.5" customWidth="1"/>
    <col min="7" max="7" width="18.1640625" customWidth="1"/>
  </cols>
  <sheetData>
    <row r="1" spans="1:7" ht="16" x14ac:dyDescent="0.2">
      <c r="A1" s="11" t="s">
        <v>0</v>
      </c>
      <c r="B1" s="12" t="s">
        <v>1</v>
      </c>
    </row>
    <row r="2" spans="1:7" ht="16" x14ac:dyDescent="0.2">
      <c r="A2" s="13" t="s">
        <v>2</v>
      </c>
      <c r="B2" s="14">
        <v>1.5</v>
      </c>
    </row>
    <row r="3" spans="1:7" ht="16" x14ac:dyDescent="0.2">
      <c r="A3" s="13" t="s">
        <v>3</v>
      </c>
      <c r="B3" s="14">
        <v>16000</v>
      </c>
    </row>
    <row r="4" spans="1:7" ht="16" x14ac:dyDescent="0.2">
      <c r="A4" s="13" t="s">
        <v>4</v>
      </c>
      <c r="B4" s="14">
        <v>20000</v>
      </c>
    </row>
    <row r="5" spans="1:7" ht="16" x14ac:dyDescent="0.2">
      <c r="A5" s="13" t="s">
        <v>5</v>
      </c>
      <c r="B5" s="14" t="s">
        <v>6</v>
      </c>
    </row>
    <row r="6" spans="1:7" ht="16" x14ac:dyDescent="0.2">
      <c r="A6" s="13" t="s">
        <v>7</v>
      </c>
      <c r="B6" s="14" t="s">
        <v>8</v>
      </c>
    </row>
    <row r="7" spans="1:7" ht="16" x14ac:dyDescent="0.2">
      <c r="A7" s="13" t="s">
        <v>9</v>
      </c>
      <c r="B7" s="14" t="s">
        <v>10</v>
      </c>
    </row>
    <row r="14" spans="1:7" x14ac:dyDescent="0.2">
      <c r="A14" s="51" t="s">
        <v>16</v>
      </c>
      <c r="B14" s="52"/>
      <c r="C14" s="52"/>
      <c r="D14" s="52"/>
      <c r="E14" s="52"/>
      <c r="F14" s="52"/>
      <c r="G14" s="53"/>
    </row>
    <row r="15" spans="1:7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7" x14ac:dyDescent="0.2">
      <c r="A16" s="19">
        <v>40000</v>
      </c>
      <c r="B16" s="22">
        <v>40000</v>
      </c>
      <c r="C16" s="22">
        <f>2*B3</f>
        <v>32000</v>
      </c>
      <c r="D16" s="22">
        <f>MIN(A16,A16)*1.5</f>
        <v>60000</v>
      </c>
      <c r="E16" s="22">
        <f>D16-C16</f>
        <v>28000</v>
      </c>
      <c r="F16" s="22">
        <v>0.15</v>
      </c>
      <c r="G16" s="22">
        <f>SUMPRODUCT(F16,E16)</f>
        <v>4200</v>
      </c>
    </row>
    <row r="17" spans="1:7" x14ac:dyDescent="0.2">
      <c r="A17" s="19">
        <v>60000</v>
      </c>
      <c r="B17" s="22">
        <v>40000</v>
      </c>
      <c r="C17" s="22">
        <v>32000</v>
      </c>
      <c r="D17" s="22">
        <v>60000</v>
      </c>
      <c r="E17" s="22">
        <f t="shared" ref="E17:E21" si="0">D17-C17</f>
        <v>28000</v>
      </c>
      <c r="F17" s="22">
        <v>0.15</v>
      </c>
      <c r="G17" s="22">
        <f t="shared" ref="G17:G21" si="1">SUMPRODUCT(F17,E17)</f>
        <v>4200</v>
      </c>
    </row>
    <row r="18" spans="1:7" x14ac:dyDescent="0.2">
      <c r="A18" s="19">
        <v>80000</v>
      </c>
      <c r="B18" s="22">
        <v>40000</v>
      </c>
      <c r="C18" s="22">
        <v>32000</v>
      </c>
      <c r="D18" s="22">
        <v>60000</v>
      </c>
      <c r="E18" s="22">
        <f t="shared" si="0"/>
        <v>28000</v>
      </c>
      <c r="F18" s="22">
        <v>0.25</v>
      </c>
      <c r="G18" s="22">
        <f t="shared" si="1"/>
        <v>7000</v>
      </c>
    </row>
    <row r="19" spans="1:7" x14ac:dyDescent="0.2">
      <c r="A19" s="19">
        <v>100000</v>
      </c>
      <c r="B19" s="22">
        <v>40000</v>
      </c>
      <c r="C19" s="22">
        <v>32000</v>
      </c>
      <c r="D19" s="22">
        <v>60000</v>
      </c>
      <c r="E19" s="22">
        <f t="shared" si="0"/>
        <v>28000</v>
      </c>
      <c r="F19" s="22">
        <v>0.25</v>
      </c>
      <c r="G19" s="22">
        <f t="shared" si="1"/>
        <v>7000</v>
      </c>
    </row>
    <row r="20" spans="1:7" x14ac:dyDescent="0.2">
      <c r="A20" s="19">
        <v>120000</v>
      </c>
      <c r="B20" s="22">
        <v>40000</v>
      </c>
      <c r="C20" s="22">
        <v>32000</v>
      </c>
      <c r="D20" s="22">
        <v>60000</v>
      </c>
      <c r="E20" s="22">
        <f t="shared" si="0"/>
        <v>28000</v>
      </c>
      <c r="F20" s="22">
        <v>0.15</v>
      </c>
      <c r="G20" s="22">
        <f t="shared" si="1"/>
        <v>4200</v>
      </c>
    </row>
    <row r="21" spans="1:7" x14ac:dyDescent="0.2">
      <c r="A21" s="19">
        <v>140000</v>
      </c>
      <c r="B21" s="22">
        <v>40000</v>
      </c>
      <c r="C21" s="22">
        <v>32000</v>
      </c>
      <c r="D21" s="22">
        <v>60000</v>
      </c>
      <c r="E21" s="22">
        <f t="shared" si="0"/>
        <v>28000</v>
      </c>
      <c r="F21" s="22">
        <v>0.05</v>
      </c>
      <c r="G21" s="22">
        <f t="shared" si="1"/>
        <v>1400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28000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5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3*16000</f>
        <v>48000</v>
      </c>
      <c r="D26" s="22">
        <f>MIN(A26,A26)*1.5</f>
        <v>60000</v>
      </c>
      <c r="E26" s="22">
        <f>D26-C26</f>
        <v>12000</v>
      </c>
      <c r="F26" s="22">
        <v>0.15</v>
      </c>
      <c r="G26" s="22">
        <f>SUMPRODUCT(F26,E26)</f>
        <v>1800</v>
      </c>
    </row>
    <row r="27" spans="1:7" x14ac:dyDescent="0.2">
      <c r="A27" s="19">
        <v>60000</v>
      </c>
      <c r="B27" s="22">
        <v>60000</v>
      </c>
      <c r="C27" s="22">
        <f t="shared" ref="C27:C31" si="2">3*16000</f>
        <v>48000</v>
      </c>
      <c r="D27" s="22">
        <f t="shared" ref="D27" si="3">MIN(A27,A27)*1.5</f>
        <v>90000</v>
      </c>
      <c r="E27" s="22">
        <f t="shared" ref="E27:E31" si="4">D27-C27</f>
        <v>42000</v>
      </c>
      <c r="F27" s="22">
        <v>0.15</v>
      </c>
      <c r="G27" s="22">
        <f t="shared" ref="G27:G31" si="5">SUMPRODUCT(F27,E27)</f>
        <v>6300</v>
      </c>
    </row>
    <row r="28" spans="1:7" x14ac:dyDescent="0.2">
      <c r="A28" s="19">
        <v>80000</v>
      </c>
      <c r="B28" s="22">
        <v>60000</v>
      </c>
      <c r="C28" s="22">
        <f t="shared" si="2"/>
        <v>48000</v>
      </c>
      <c r="D28" s="22">
        <v>90000</v>
      </c>
      <c r="E28" s="22">
        <f>D28-C28</f>
        <v>42000</v>
      </c>
      <c r="F28" s="22">
        <v>0.25</v>
      </c>
      <c r="G28" s="22">
        <f t="shared" si="5"/>
        <v>10500</v>
      </c>
    </row>
    <row r="29" spans="1:7" x14ac:dyDescent="0.2">
      <c r="A29" s="19">
        <v>100000</v>
      </c>
      <c r="B29" s="22">
        <v>60000</v>
      </c>
      <c r="C29" s="22">
        <f t="shared" si="2"/>
        <v>48000</v>
      </c>
      <c r="D29" s="22">
        <v>90000</v>
      </c>
      <c r="E29" s="22">
        <f t="shared" si="4"/>
        <v>42000</v>
      </c>
      <c r="F29" s="22">
        <v>0.25</v>
      </c>
      <c r="G29" s="22">
        <f t="shared" si="5"/>
        <v>10500</v>
      </c>
    </row>
    <row r="30" spans="1:7" x14ac:dyDescent="0.2">
      <c r="A30" s="19">
        <v>120000</v>
      </c>
      <c r="B30" s="22">
        <v>60000</v>
      </c>
      <c r="C30" s="22">
        <f t="shared" si="2"/>
        <v>48000</v>
      </c>
      <c r="D30" s="22">
        <v>90000</v>
      </c>
      <c r="E30" s="22">
        <f t="shared" si="4"/>
        <v>42000</v>
      </c>
      <c r="F30" s="22">
        <v>0.15</v>
      </c>
      <c r="G30" s="22">
        <f t="shared" si="5"/>
        <v>6300</v>
      </c>
    </row>
    <row r="31" spans="1:7" x14ac:dyDescent="0.2">
      <c r="A31" s="19">
        <v>140000</v>
      </c>
      <c r="B31" s="22">
        <v>60000</v>
      </c>
      <c r="C31" s="22">
        <f t="shared" si="2"/>
        <v>48000</v>
      </c>
      <c r="D31" s="22">
        <v>90000</v>
      </c>
      <c r="E31" s="22">
        <f t="shared" si="4"/>
        <v>42000</v>
      </c>
      <c r="F31" s="22">
        <v>0.05</v>
      </c>
      <c r="G31" s="22">
        <f t="shared" si="5"/>
        <v>2100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37500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5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4*16000</f>
        <v>64000</v>
      </c>
      <c r="D36" s="22">
        <f>MIN(A36,B36)*1.5</f>
        <v>60000</v>
      </c>
      <c r="E36" s="22">
        <f>D36-C36</f>
        <v>-4000</v>
      </c>
      <c r="F36" s="22">
        <v>0.15</v>
      </c>
      <c r="G36" s="22">
        <f>SUMPRODUCT(F36,E36)</f>
        <v>-600</v>
      </c>
    </row>
    <row r="37" spans="1:7" x14ac:dyDescent="0.2">
      <c r="A37" s="19">
        <v>60000</v>
      </c>
      <c r="B37" s="22">
        <v>60000</v>
      </c>
      <c r="C37" s="22">
        <f t="shared" ref="C37:C41" si="6">4*16000</f>
        <v>64000</v>
      </c>
      <c r="D37" s="22">
        <f t="shared" ref="D37:D41" si="7">MIN(A37,B37)*1.5</f>
        <v>90000</v>
      </c>
      <c r="E37" s="22">
        <f t="shared" ref="E37:E41" si="8">D37-C37</f>
        <v>26000</v>
      </c>
      <c r="F37" s="22">
        <v>0.15</v>
      </c>
      <c r="G37" s="22">
        <f t="shared" ref="G37:G41" si="9">SUMPRODUCT(F37,E37)</f>
        <v>3900</v>
      </c>
    </row>
    <row r="38" spans="1:7" x14ac:dyDescent="0.2">
      <c r="A38" s="19">
        <v>80000</v>
      </c>
      <c r="B38" s="22">
        <v>80000</v>
      </c>
      <c r="C38" s="22">
        <f t="shared" si="6"/>
        <v>64000</v>
      </c>
      <c r="D38" s="22">
        <f t="shared" si="7"/>
        <v>120000</v>
      </c>
      <c r="E38" s="22">
        <f t="shared" si="8"/>
        <v>56000</v>
      </c>
      <c r="F38" s="22">
        <v>0.25</v>
      </c>
      <c r="G38" s="22">
        <f t="shared" si="9"/>
        <v>14000</v>
      </c>
    </row>
    <row r="39" spans="1:7" x14ac:dyDescent="0.2">
      <c r="A39" s="19">
        <v>100000</v>
      </c>
      <c r="B39" s="22">
        <v>80000</v>
      </c>
      <c r="C39" s="22">
        <f t="shared" si="6"/>
        <v>64000</v>
      </c>
      <c r="D39" s="22">
        <f t="shared" si="7"/>
        <v>120000</v>
      </c>
      <c r="E39" s="22">
        <f t="shared" si="8"/>
        <v>56000</v>
      </c>
      <c r="F39" s="22">
        <v>0.25</v>
      </c>
      <c r="G39" s="22">
        <f t="shared" si="9"/>
        <v>14000</v>
      </c>
    </row>
    <row r="40" spans="1:7" x14ac:dyDescent="0.2">
      <c r="A40" s="19">
        <v>120000</v>
      </c>
      <c r="B40" s="22">
        <v>80000</v>
      </c>
      <c r="C40" s="22">
        <f t="shared" si="6"/>
        <v>64000</v>
      </c>
      <c r="D40" s="22">
        <f t="shared" si="7"/>
        <v>120000</v>
      </c>
      <c r="E40" s="22">
        <f t="shared" si="8"/>
        <v>56000</v>
      </c>
      <c r="F40" s="22">
        <v>0.15</v>
      </c>
      <c r="G40" s="22">
        <f t="shared" si="9"/>
        <v>8400</v>
      </c>
    </row>
    <row r="41" spans="1:7" x14ac:dyDescent="0.2">
      <c r="A41" s="19">
        <v>140000</v>
      </c>
      <c r="B41" s="22">
        <v>80000</v>
      </c>
      <c r="C41" s="22">
        <f t="shared" si="6"/>
        <v>64000</v>
      </c>
      <c r="D41" s="22">
        <f t="shared" si="7"/>
        <v>120000</v>
      </c>
      <c r="E41" s="22">
        <f t="shared" si="8"/>
        <v>56000</v>
      </c>
      <c r="F41" s="22">
        <v>0.05</v>
      </c>
      <c r="G41" s="22">
        <f t="shared" si="9"/>
        <v>2800</v>
      </c>
    </row>
    <row r="42" spans="1:7" x14ac:dyDescent="0.2">
      <c r="A42" s="48"/>
      <c r="B42" s="49"/>
      <c r="C42" s="49"/>
      <c r="D42" s="49"/>
      <c r="E42" s="50"/>
      <c r="F42" s="21" t="s">
        <v>19</v>
      </c>
      <c r="G42" s="25">
        <f>SUM(G36:G41)</f>
        <v>42500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5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5*16000</f>
        <v>80000</v>
      </c>
      <c r="D46" s="22">
        <f>MIN(A46,A46)*1.5</f>
        <v>60000</v>
      </c>
      <c r="E46" s="22">
        <f>D46-C46</f>
        <v>-20000</v>
      </c>
      <c r="F46" s="22">
        <v>0.15</v>
      </c>
      <c r="G46" s="22">
        <f>SUMPRODUCT(F46,E46)</f>
        <v>-3000</v>
      </c>
    </row>
    <row r="47" spans="1:7" x14ac:dyDescent="0.2">
      <c r="A47" s="19">
        <v>60000</v>
      </c>
      <c r="B47" s="22">
        <v>60000</v>
      </c>
      <c r="C47" s="22">
        <f t="shared" ref="C47:C51" si="10">5*16000</f>
        <v>80000</v>
      </c>
      <c r="D47" s="22">
        <f>MIN(A47,A47)*1.5</f>
        <v>90000</v>
      </c>
      <c r="E47" s="22">
        <f t="shared" ref="E47:E51" si="11">D47-C47</f>
        <v>10000</v>
      </c>
      <c r="F47" s="22">
        <v>0.15</v>
      </c>
      <c r="G47" s="22">
        <f t="shared" ref="G47:G51" si="12">SUMPRODUCT(F47,E47)</f>
        <v>1500</v>
      </c>
    </row>
    <row r="48" spans="1:7" x14ac:dyDescent="0.2">
      <c r="A48" s="19">
        <v>80000</v>
      </c>
      <c r="B48" s="22">
        <v>80000</v>
      </c>
      <c r="C48" s="22">
        <f t="shared" si="10"/>
        <v>80000</v>
      </c>
      <c r="D48" s="22">
        <f>MIN(A48,A48)*1.5</f>
        <v>120000</v>
      </c>
      <c r="E48" s="22">
        <f t="shared" si="11"/>
        <v>40000</v>
      </c>
      <c r="F48" s="22">
        <v>0.25</v>
      </c>
      <c r="G48" s="22">
        <f t="shared" si="12"/>
        <v>10000</v>
      </c>
    </row>
    <row r="49" spans="1:7" x14ac:dyDescent="0.2">
      <c r="A49" s="19">
        <v>100000</v>
      </c>
      <c r="B49" s="22">
        <v>100000</v>
      </c>
      <c r="C49" s="22">
        <f t="shared" si="10"/>
        <v>80000</v>
      </c>
      <c r="D49" s="22">
        <f>MIN(A49,A49)*1.5</f>
        <v>150000</v>
      </c>
      <c r="E49" s="22">
        <f t="shared" si="11"/>
        <v>70000</v>
      </c>
      <c r="F49" s="22">
        <v>0.25</v>
      </c>
      <c r="G49" s="22">
        <f t="shared" si="12"/>
        <v>17500</v>
      </c>
    </row>
    <row r="50" spans="1:7" x14ac:dyDescent="0.2">
      <c r="A50" s="19">
        <v>120000</v>
      </c>
      <c r="B50" s="22">
        <v>100000</v>
      </c>
      <c r="C50" s="22">
        <f t="shared" si="10"/>
        <v>80000</v>
      </c>
      <c r="D50" s="22">
        <v>150000</v>
      </c>
      <c r="E50" s="22">
        <f t="shared" si="11"/>
        <v>70000</v>
      </c>
      <c r="F50" s="22">
        <v>0.15</v>
      </c>
      <c r="G50" s="22">
        <f t="shared" si="12"/>
        <v>10500</v>
      </c>
    </row>
    <row r="51" spans="1:7" x14ac:dyDescent="0.2">
      <c r="A51" s="19">
        <v>140000</v>
      </c>
      <c r="B51" s="22">
        <v>100000</v>
      </c>
      <c r="C51" s="22">
        <f t="shared" si="10"/>
        <v>80000</v>
      </c>
      <c r="D51" s="22">
        <v>150000</v>
      </c>
      <c r="E51" s="22">
        <f t="shared" si="11"/>
        <v>70000</v>
      </c>
      <c r="F51" s="22">
        <v>0.05</v>
      </c>
      <c r="G51" s="22">
        <f t="shared" si="12"/>
        <v>3500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4">
        <f>SUM(G46:G51)</f>
        <v>40000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5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6*16000</f>
        <v>96000</v>
      </c>
      <c r="D56" s="22">
        <f>MIN(A56,A56)*1.5</f>
        <v>60000</v>
      </c>
      <c r="E56" s="22">
        <f>D56-C56</f>
        <v>-36000</v>
      </c>
      <c r="F56" s="22">
        <v>0.15</v>
      </c>
      <c r="G56" s="22">
        <f>SUMPRODUCT(F56,E56)</f>
        <v>-5400</v>
      </c>
    </row>
    <row r="57" spans="1:7" x14ac:dyDescent="0.2">
      <c r="A57" s="19">
        <v>60000</v>
      </c>
      <c r="B57" s="22">
        <v>60000</v>
      </c>
      <c r="C57" s="22">
        <f t="shared" ref="C57:C61" si="13">6*16000</f>
        <v>96000</v>
      </c>
      <c r="D57" s="22">
        <f>MIN(A57,A57)*1.5</f>
        <v>90000</v>
      </c>
      <c r="E57" s="22">
        <f t="shared" ref="E57:E61" si="14">D57-C57</f>
        <v>-6000</v>
      </c>
      <c r="F57" s="22">
        <v>0.15</v>
      </c>
      <c r="G57" s="22">
        <f t="shared" ref="G57:G61" si="15">SUMPRODUCT(F57,E57)</f>
        <v>-900</v>
      </c>
    </row>
    <row r="58" spans="1:7" x14ac:dyDescent="0.2">
      <c r="A58" s="19">
        <v>80000</v>
      </c>
      <c r="B58" s="22">
        <v>80000</v>
      </c>
      <c r="C58" s="22">
        <f t="shared" si="13"/>
        <v>96000</v>
      </c>
      <c r="D58" s="22">
        <f>MIN(A58,A58)*1.5</f>
        <v>120000</v>
      </c>
      <c r="E58" s="22">
        <f t="shared" si="14"/>
        <v>24000</v>
      </c>
      <c r="F58" s="22">
        <v>0.25</v>
      </c>
      <c r="G58" s="22">
        <f t="shared" si="15"/>
        <v>6000</v>
      </c>
    </row>
    <row r="59" spans="1:7" x14ac:dyDescent="0.2">
      <c r="A59" s="19">
        <v>100000</v>
      </c>
      <c r="B59" s="22">
        <v>100000</v>
      </c>
      <c r="C59" s="22">
        <f t="shared" si="13"/>
        <v>96000</v>
      </c>
      <c r="D59" s="22">
        <f>MIN(A59,A59)*1.5</f>
        <v>150000</v>
      </c>
      <c r="E59" s="22">
        <f t="shared" si="14"/>
        <v>54000</v>
      </c>
      <c r="F59" s="22">
        <v>0.25</v>
      </c>
      <c r="G59" s="22">
        <f t="shared" si="15"/>
        <v>13500</v>
      </c>
    </row>
    <row r="60" spans="1:7" x14ac:dyDescent="0.2">
      <c r="A60" s="19">
        <v>120000</v>
      </c>
      <c r="B60" s="22">
        <v>120000</v>
      </c>
      <c r="C60" s="22">
        <f t="shared" si="13"/>
        <v>96000</v>
      </c>
      <c r="D60" s="22">
        <f>MIN(A60,A60)*1.5</f>
        <v>180000</v>
      </c>
      <c r="E60" s="22">
        <f t="shared" si="14"/>
        <v>84000</v>
      </c>
      <c r="F60" s="22">
        <v>0.15</v>
      </c>
      <c r="G60" s="22">
        <f t="shared" si="15"/>
        <v>12600</v>
      </c>
    </row>
    <row r="61" spans="1:7" x14ac:dyDescent="0.2">
      <c r="A61" s="19">
        <v>140000</v>
      </c>
      <c r="B61" s="22">
        <v>120000</v>
      </c>
      <c r="C61" s="22">
        <f t="shared" si="13"/>
        <v>96000</v>
      </c>
      <c r="D61" s="22">
        <v>180000</v>
      </c>
      <c r="E61" s="22">
        <f t="shared" si="14"/>
        <v>84000</v>
      </c>
      <c r="F61" s="22">
        <v>0.05</v>
      </c>
      <c r="G61" s="22">
        <f t="shared" si="15"/>
        <v>4200</v>
      </c>
    </row>
    <row r="62" spans="1:7" x14ac:dyDescent="0.2">
      <c r="A62" s="48"/>
      <c r="B62" s="49"/>
      <c r="C62" s="49"/>
      <c r="D62" s="49"/>
      <c r="E62" s="50"/>
      <c r="F62" s="21" t="s">
        <v>19</v>
      </c>
      <c r="G62" s="24">
        <f>SUM(G56:G61)</f>
        <v>30000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5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7*16000</f>
        <v>112000</v>
      </c>
      <c r="D66" s="22">
        <f>MIN(A66,A66)*1.5</f>
        <v>60000</v>
      </c>
      <c r="E66" s="22">
        <f>D66-C66</f>
        <v>-52000</v>
      </c>
      <c r="F66" s="22">
        <v>0.15</v>
      </c>
      <c r="G66" s="22">
        <f>SUMPRODUCT(F66,E66)</f>
        <v>-7800</v>
      </c>
    </row>
    <row r="67" spans="1:7" x14ac:dyDescent="0.2">
      <c r="A67" s="19">
        <v>60000</v>
      </c>
      <c r="B67" s="22">
        <v>60000</v>
      </c>
      <c r="C67" s="22">
        <f t="shared" ref="C67:C71" si="16">7*16000</f>
        <v>112000</v>
      </c>
      <c r="D67" s="22">
        <f t="shared" ref="D67:D71" si="17">MIN(A67,A67)*1.5</f>
        <v>90000</v>
      </c>
      <c r="E67" s="22">
        <f t="shared" ref="E67:E71" si="18">D67-C67</f>
        <v>-22000</v>
      </c>
      <c r="F67" s="22">
        <v>0.15</v>
      </c>
      <c r="G67" s="22">
        <f t="shared" ref="G67:G71" si="19">SUMPRODUCT(F67,E67)</f>
        <v>-3300</v>
      </c>
    </row>
    <row r="68" spans="1:7" x14ac:dyDescent="0.2">
      <c r="A68" s="19">
        <v>80000</v>
      </c>
      <c r="B68" s="22">
        <v>80000</v>
      </c>
      <c r="C68" s="22">
        <f t="shared" si="16"/>
        <v>112000</v>
      </c>
      <c r="D68" s="22">
        <f t="shared" si="17"/>
        <v>120000</v>
      </c>
      <c r="E68" s="22">
        <f t="shared" si="18"/>
        <v>8000</v>
      </c>
      <c r="F68" s="22">
        <v>0.25</v>
      </c>
      <c r="G68" s="22">
        <f t="shared" si="19"/>
        <v>2000</v>
      </c>
    </row>
    <row r="69" spans="1:7" x14ac:dyDescent="0.2">
      <c r="A69" s="19">
        <v>100000</v>
      </c>
      <c r="B69" s="22">
        <v>100000</v>
      </c>
      <c r="C69" s="22">
        <f t="shared" si="16"/>
        <v>112000</v>
      </c>
      <c r="D69" s="22">
        <f t="shared" si="17"/>
        <v>150000</v>
      </c>
      <c r="E69" s="22">
        <f t="shared" si="18"/>
        <v>38000</v>
      </c>
      <c r="F69" s="22">
        <v>0.25</v>
      </c>
      <c r="G69" s="22">
        <f t="shared" si="19"/>
        <v>9500</v>
      </c>
    </row>
    <row r="70" spans="1:7" x14ac:dyDescent="0.2">
      <c r="A70" s="19">
        <v>120000</v>
      </c>
      <c r="B70" s="22">
        <v>120000</v>
      </c>
      <c r="C70" s="22">
        <f t="shared" si="16"/>
        <v>112000</v>
      </c>
      <c r="D70" s="22">
        <f t="shared" si="17"/>
        <v>180000</v>
      </c>
      <c r="E70" s="22">
        <f t="shared" si="18"/>
        <v>68000</v>
      </c>
      <c r="F70" s="22">
        <v>0.15</v>
      </c>
      <c r="G70" s="22">
        <f t="shared" si="19"/>
        <v>10200</v>
      </c>
    </row>
    <row r="71" spans="1:7" x14ac:dyDescent="0.2">
      <c r="A71" s="19">
        <v>140000</v>
      </c>
      <c r="B71" s="22">
        <v>140000</v>
      </c>
      <c r="C71" s="22">
        <f t="shared" si="16"/>
        <v>112000</v>
      </c>
      <c r="D71" s="22">
        <f t="shared" si="17"/>
        <v>210000</v>
      </c>
      <c r="E71" s="22">
        <f t="shared" si="18"/>
        <v>98000</v>
      </c>
      <c r="F71" s="22">
        <v>0.05</v>
      </c>
      <c r="G71" s="22">
        <f t="shared" si="19"/>
        <v>4900</v>
      </c>
    </row>
    <row r="72" spans="1:7" x14ac:dyDescent="0.2">
      <c r="A72" s="48"/>
      <c r="B72" s="49"/>
      <c r="C72" s="49"/>
      <c r="D72" s="49"/>
      <c r="E72" s="50"/>
      <c r="F72" s="21" t="s">
        <v>19</v>
      </c>
      <c r="G72" s="24">
        <f>SUM(G66:G71)</f>
        <v>15500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28000</v>
      </c>
      <c r="C78" s="22">
        <v>2</v>
      </c>
    </row>
    <row r="79" spans="1:7" x14ac:dyDescent="0.2">
      <c r="A79" s="19">
        <v>60000</v>
      </c>
      <c r="B79" s="24">
        <v>37500</v>
      </c>
      <c r="C79" s="22">
        <v>3</v>
      </c>
    </row>
    <row r="80" spans="1:7" x14ac:dyDescent="0.2">
      <c r="A80" s="29">
        <v>80000</v>
      </c>
      <c r="B80" s="25">
        <v>42500</v>
      </c>
      <c r="C80" s="30">
        <v>4</v>
      </c>
    </row>
    <row r="81" spans="1:3" x14ac:dyDescent="0.2">
      <c r="A81" s="19">
        <v>100000</v>
      </c>
      <c r="B81" s="24">
        <v>40000</v>
      </c>
      <c r="C81" s="22">
        <v>5</v>
      </c>
    </row>
    <row r="82" spans="1:3" x14ac:dyDescent="0.2">
      <c r="A82" s="19">
        <v>120000</v>
      </c>
      <c r="B82" s="24">
        <v>30000</v>
      </c>
      <c r="C82" s="22">
        <v>6</v>
      </c>
    </row>
    <row r="83" spans="1:3" x14ac:dyDescent="0.2">
      <c r="A83" s="19">
        <v>140000</v>
      </c>
      <c r="B83" s="24">
        <v>15500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"/>
  <sheetViews>
    <sheetView topLeftCell="A25" workbookViewId="0">
      <selection activeCell="B92" sqref="B92"/>
    </sheetView>
  </sheetViews>
  <sheetFormatPr baseColWidth="10" defaultColWidth="8.83203125" defaultRowHeight="15" x14ac:dyDescent="0.2"/>
  <cols>
    <col min="1" max="1" width="34.33203125" customWidth="1"/>
    <col min="2" max="2" width="32" customWidth="1"/>
    <col min="3" max="3" width="20.6640625" customWidth="1"/>
    <col min="4" max="4" width="16.5" customWidth="1"/>
    <col min="7" max="7" width="23" customWidth="1"/>
  </cols>
  <sheetData>
    <row r="1" spans="1:9" ht="16" x14ac:dyDescent="0.2">
      <c r="A1" s="11" t="s">
        <v>0</v>
      </c>
      <c r="B1" s="12" t="s">
        <v>1</v>
      </c>
      <c r="C1" s="1"/>
      <c r="D1" s="1"/>
      <c r="E1" s="1"/>
      <c r="F1" s="1"/>
      <c r="G1" s="1"/>
      <c r="H1" s="1"/>
      <c r="I1" s="1"/>
    </row>
    <row r="2" spans="1:9" ht="16" x14ac:dyDescent="0.2">
      <c r="A2" s="13" t="s">
        <v>2</v>
      </c>
      <c r="B2" s="14">
        <v>1.5</v>
      </c>
    </row>
    <row r="3" spans="1:9" ht="16" x14ac:dyDescent="0.2">
      <c r="A3" s="13" t="s">
        <v>3</v>
      </c>
      <c r="B3" s="14">
        <v>18000</v>
      </c>
    </row>
    <row r="4" spans="1:9" ht="16" x14ac:dyDescent="0.2">
      <c r="A4" s="13" t="s">
        <v>4</v>
      </c>
      <c r="B4" s="14">
        <v>20000</v>
      </c>
    </row>
    <row r="5" spans="1:9" ht="16" x14ac:dyDescent="0.2">
      <c r="A5" s="13" t="s">
        <v>5</v>
      </c>
      <c r="B5" s="14" t="s">
        <v>6</v>
      </c>
    </row>
    <row r="6" spans="1:9" ht="16" x14ac:dyDescent="0.2">
      <c r="A6" s="13" t="s">
        <v>7</v>
      </c>
      <c r="B6" s="14" t="s">
        <v>8</v>
      </c>
    </row>
    <row r="7" spans="1:9" ht="16" x14ac:dyDescent="0.2">
      <c r="A7" s="13" t="s">
        <v>9</v>
      </c>
      <c r="B7" s="14" t="s">
        <v>10</v>
      </c>
    </row>
    <row r="14" spans="1:9" x14ac:dyDescent="0.2">
      <c r="A14" s="51" t="s">
        <v>16</v>
      </c>
      <c r="B14" s="52"/>
      <c r="C14" s="52"/>
      <c r="D14" s="52"/>
      <c r="E14" s="52"/>
      <c r="F14" s="52"/>
      <c r="G14" s="53"/>
    </row>
    <row r="15" spans="1:9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9" x14ac:dyDescent="0.2">
      <c r="A16" s="19">
        <v>40000</v>
      </c>
      <c r="B16" s="22">
        <v>40000</v>
      </c>
      <c r="C16" s="22">
        <f>2*18000</f>
        <v>36000</v>
      </c>
      <c r="D16" s="22">
        <f>MIN(A16,A16)*1.5</f>
        <v>60000</v>
      </c>
      <c r="E16" s="22">
        <f>D16-C16</f>
        <v>24000</v>
      </c>
      <c r="F16" s="22">
        <v>0.15</v>
      </c>
      <c r="G16" s="22">
        <f>SUMPRODUCT(F16,E16)</f>
        <v>3600</v>
      </c>
    </row>
    <row r="17" spans="1:7" x14ac:dyDescent="0.2">
      <c r="A17" s="19">
        <v>60000</v>
      </c>
      <c r="B17" s="22">
        <v>40000</v>
      </c>
      <c r="C17" s="22">
        <f t="shared" ref="C17:C21" si="0">2*18000</f>
        <v>36000</v>
      </c>
      <c r="D17" s="22">
        <v>60000</v>
      </c>
      <c r="E17" s="22">
        <f t="shared" ref="E17:E21" si="1">D17-C17</f>
        <v>24000</v>
      </c>
      <c r="F17" s="22">
        <v>0.15</v>
      </c>
      <c r="G17" s="22">
        <f t="shared" ref="G17:G21" si="2">SUMPRODUCT(F17,E17)</f>
        <v>3600</v>
      </c>
    </row>
    <row r="18" spans="1:7" x14ac:dyDescent="0.2">
      <c r="A18" s="19">
        <v>80000</v>
      </c>
      <c r="B18" s="22">
        <v>40000</v>
      </c>
      <c r="C18" s="22">
        <f t="shared" si="0"/>
        <v>36000</v>
      </c>
      <c r="D18" s="22">
        <v>60000</v>
      </c>
      <c r="E18" s="22">
        <f t="shared" si="1"/>
        <v>24000</v>
      </c>
      <c r="F18" s="22">
        <v>0.25</v>
      </c>
      <c r="G18" s="22">
        <f t="shared" si="2"/>
        <v>6000</v>
      </c>
    </row>
    <row r="19" spans="1:7" x14ac:dyDescent="0.2">
      <c r="A19" s="19">
        <v>100000</v>
      </c>
      <c r="B19" s="22">
        <v>40000</v>
      </c>
      <c r="C19" s="22">
        <f t="shared" si="0"/>
        <v>36000</v>
      </c>
      <c r="D19" s="22">
        <v>60000</v>
      </c>
      <c r="E19" s="22">
        <f t="shared" si="1"/>
        <v>24000</v>
      </c>
      <c r="F19" s="22">
        <v>0.25</v>
      </c>
      <c r="G19" s="22">
        <f t="shared" si="2"/>
        <v>6000</v>
      </c>
    </row>
    <row r="20" spans="1:7" x14ac:dyDescent="0.2">
      <c r="A20" s="19">
        <v>120000</v>
      </c>
      <c r="B20" s="22">
        <v>40000</v>
      </c>
      <c r="C20" s="22">
        <f t="shared" si="0"/>
        <v>36000</v>
      </c>
      <c r="D20" s="22">
        <v>60000</v>
      </c>
      <c r="E20" s="22">
        <f t="shared" si="1"/>
        <v>24000</v>
      </c>
      <c r="F20" s="22">
        <v>0.15</v>
      </c>
      <c r="G20" s="22">
        <f t="shared" si="2"/>
        <v>3600</v>
      </c>
    </row>
    <row r="21" spans="1:7" x14ac:dyDescent="0.2">
      <c r="A21" s="19">
        <v>140000</v>
      </c>
      <c r="B21" s="22">
        <v>40000</v>
      </c>
      <c r="C21" s="22">
        <f t="shared" si="0"/>
        <v>36000</v>
      </c>
      <c r="D21" s="22">
        <v>60000</v>
      </c>
      <c r="E21" s="22">
        <f t="shared" si="1"/>
        <v>24000</v>
      </c>
      <c r="F21" s="22">
        <v>0.05</v>
      </c>
      <c r="G21" s="22">
        <f t="shared" si="2"/>
        <v>1200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24000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5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3*18000</f>
        <v>54000</v>
      </c>
      <c r="D26" s="22">
        <v>60000</v>
      </c>
      <c r="E26" s="22">
        <f>D26-C26</f>
        <v>6000</v>
      </c>
      <c r="F26" s="22">
        <v>0.15</v>
      </c>
      <c r="G26" s="22">
        <f>SUMPRODUCT(F26,E26)</f>
        <v>900</v>
      </c>
    </row>
    <row r="27" spans="1:7" x14ac:dyDescent="0.2">
      <c r="A27" s="19">
        <v>60000</v>
      </c>
      <c r="B27" s="22">
        <v>60000</v>
      </c>
      <c r="C27" s="22">
        <f t="shared" ref="C27:C31" si="3">3*18000</f>
        <v>54000</v>
      </c>
      <c r="D27" s="22">
        <v>90000</v>
      </c>
      <c r="E27" s="22">
        <f t="shared" ref="E27:E31" si="4">D27-C27</f>
        <v>36000</v>
      </c>
      <c r="F27" s="22">
        <v>0.15</v>
      </c>
      <c r="G27" s="22">
        <f t="shared" ref="G27:G31" si="5">SUMPRODUCT(F27,E27)</f>
        <v>5400</v>
      </c>
    </row>
    <row r="28" spans="1:7" x14ac:dyDescent="0.2">
      <c r="A28" s="19">
        <v>80000</v>
      </c>
      <c r="B28" s="22">
        <v>60000</v>
      </c>
      <c r="C28" s="22">
        <f t="shared" si="3"/>
        <v>54000</v>
      </c>
      <c r="D28" s="22">
        <v>90000</v>
      </c>
      <c r="E28" s="22">
        <f t="shared" si="4"/>
        <v>36000</v>
      </c>
      <c r="F28" s="22">
        <v>0.25</v>
      </c>
      <c r="G28" s="22">
        <f t="shared" si="5"/>
        <v>9000</v>
      </c>
    </row>
    <row r="29" spans="1:7" x14ac:dyDescent="0.2">
      <c r="A29" s="19">
        <v>100000</v>
      </c>
      <c r="B29" s="22">
        <v>60000</v>
      </c>
      <c r="C29" s="22">
        <f t="shared" si="3"/>
        <v>54000</v>
      </c>
      <c r="D29" s="22">
        <v>90000</v>
      </c>
      <c r="E29" s="22">
        <f t="shared" si="4"/>
        <v>36000</v>
      </c>
      <c r="F29" s="22">
        <v>0.25</v>
      </c>
      <c r="G29" s="22">
        <f t="shared" si="5"/>
        <v>9000</v>
      </c>
    </row>
    <row r="30" spans="1:7" x14ac:dyDescent="0.2">
      <c r="A30" s="19">
        <v>120000</v>
      </c>
      <c r="B30" s="22">
        <v>60000</v>
      </c>
      <c r="C30" s="22">
        <f t="shared" si="3"/>
        <v>54000</v>
      </c>
      <c r="D30" s="22">
        <v>90000</v>
      </c>
      <c r="E30" s="22">
        <f t="shared" si="4"/>
        <v>36000</v>
      </c>
      <c r="F30" s="22">
        <v>0.15</v>
      </c>
      <c r="G30" s="22">
        <f t="shared" si="5"/>
        <v>5400</v>
      </c>
    </row>
    <row r="31" spans="1:7" x14ac:dyDescent="0.2">
      <c r="A31" s="19">
        <v>140000</v>
      </c>
      <c r="B31" s="22">
        <v>60000</v>
      </c>
      <c r="C31" s="22">
        <f t="shared" si="3"/>
        <v>54000</v>
      </c>
      <c r="D31" s="22">
        <v>90000</v>
      </c>
      <c r="E31" s="22">
        <f t="shared" si="4"/>
        <v>36000</v>
      </c>
      <c r="F31" s="22">
        <v>0.05</v>
      </c>
      <c r="G31" s="22">
        <f t="shared" si="5"/>
        <v>1800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31500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5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4*18000</f>
        <v>72000</v>
      </c>
      <c r="D36" s="22">
        <v>60000</v>
      </c>
      <c r="E36" s="22">
        <f>D36-C36</f>
        <v>-12000</v>
      </c>
      <c r="F36" s="22">
        <v>0.15</v>
      </c>
      <c r="G36" s="22">
        <f>SUMPRODUCT(F36,E36)</f>
        <v>-1800</v>
      </c>
    </row>
    <row r="37" spans="1:7" x14ac:dyDescent="0.2">
      <c r="A37" s="19">
        <v>60000</v>
      </c>
      <c r="B37" s="22">
        <v>60000</v>
      </c>
      <c r="C37" s="22">
        <f t="shared" ref="C37:C41" si="6">4*18000</f>
        <v>72000</v>
      </c>
      <c r="D37" s="22">
        <v>90000</v>
      </c>
      <c r="E37" s="22">
        <f t="shared" ref="E37:E41" si="7">D37-C37</f>
        <v>18000</v>
      </c>
      <c r="F37" s="22">
        <v>0.15</v>
      </c>
      <c r="G37" s="22">
        <f t="shared" ref="G37:G41" si="8">SUMPRODUCT(F37,E37)</f>
        <v>2700</v>
      </c>
    </row>
    <row r="38" spans="1:7" x14ac:dyDescent="0.2">
      <c r="A38" s="19">
        <v>80000</v>
      </c>
      <c r="B38" s="22">
        <v>80000</v>
      </c>
      <c r="C38" s="22">
        <f t="shared" si="6"/>
        <v>72000</v>
      </c>
      <c r="D38" s="22">
        <v>120000</v>
      </c>
      <c r="E38" s="22">
        <f t="shared" si="7"/>
        <v>48000</v>
      </c>
      <c r="F38" s="22">
        <v>0.25</v>
      </c>
      <c r="G38" s="22">
        <f t="shared" si="8"/>
        <v>12000</v>
      </c>
    </row>
    <row r="39" spans="1:7" x14ac:dyDescent="0.2">
      <c r="A39" s="19">
        <v>100000</v>
      </c>
      <c r="B39" s="22">
        <v>80000</v>
      </c>
      <c r="C39" s="22">
        <f t="shared" si="6"/>
        <v>72000</v>
      </c>
      <c r="D39" s="22">
        <v>120000</v>
      </c>
      <c r="E39" s="22">
        <f t="shared" si="7"/>
        <v>48000</v>
      </c>
      <c r="F39" s="22">
        <v>0.25</v>
      </c>
      <c r="G39" s="22">
        <f t="shared" si="8"/>
        <v>12000</v>
      </c>
    </row>
    <row r="40" spans="1:7" x14ac:dyDescent="0.2">
      <c r="A40" s="19">
        <v>120000</v>
      </c>
      <c r="B40" s="22">
        <v>80000</v>
      </c>
      <c r="C40" s="22">
        <f t="shared" si="6"/>
        <v>72000</v>
      </c>
      <c r="D40" s="22">
        <v>120000</v>
      </c>
      <c r="E40" s="22">
        <f t="shared" si="7"/>
        <v>48000</v>
      </c>
      <c r="F40" s="22">
        <v>0.15</v>
      </c>
      <c r="G40" s="22">
        <f t="shared" si="8"/>
        <v>7200</v>
      </c>
    </row>
    <row r="41" spans="1:7" x14ac:dyDescent="0.2">
      <c r="A41" s="19">
        <v>140000</v>
      </c>
      <c r="B41" s="22">
        <v>80000</v>
      </c>
      <c r="C41" s="22">
        <f t="shared" si="6"/>
        <v>72000</v>
      </c>
      <c r="D41" s="22">
        <v>120000</v>
      </c>
      <c r="E41" s="22">
        <f t="shared" si="7"/>
        <v>48000</v>
      </c>
      <c r="F41" s="22">
        <v>0.05</v>
      </c>
      <c r="G41" s="22">
        <f t="shared" si="8"/>
        <v>2400</v>
      </c>
    </row>
    <row r="42" spans="1:7" x14ac:dyDescent="0.2">
      <c r="A42" s="48"/>
      <c r="B42" s="49"/>
      <c r="C42" s="49"/>
      <c r="D42" s="49"/>
      <c r="E42" s="50"/>
      <c r="F42" s="21" t="s">
        <v>19</v>
      </c>
      <c r="G42" s="25">
        <f>SUM(G36:G41)</f>
        <v>34500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5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5*18000</f>
        <v>90000</v>
      </c>
      <c r="D46" s="22">
        <v>60000</v>
      </c>
      <c r="E46" s="22">
        <f>D46-C46</f>
        <v>-30000</v>
      </c>
      <c r="F46" s="22">
        <v>0.15</v>
      </c>
      <c r="G46" s="22">
        <f>SUMPRODUCT(F46,E46)</f>
        <v>-4500</v>
      </c>
    </row>
    <row r="47" spans="1:7" x14ac:dyDescent="0.2">
      <c r="A47" s="19">
        <v>60000</v>
      </c>
      <c r="B47" s="22">
        <v>60000</v>
      </c>
      <c r="C47" s="22">
        <f t="shared" ref="C47:C51" si="9">5*18000</f>
        <v>90000</v>
      </c>
      <c r="D47" s="22">
        <v>90000</v>
      </c>
      <c r="E47" s="22">
        <f t="shared" ref="E47:E51" si="10">D47-C47</f>
        <v>0</v>
      </c>
      <c r="F47" s="22">
        <v>0.15</v>
      </c>
      <c r="G47" s="22">
        <f t="shared" ref="G47:G51" si="11">SUMPRODUCT(F47,E47)</f>
        <v>0</v>
      </c>
    </row>
    <row r="48" spans="1:7" x14ac:dyDescent="0.2">
      <c r="A48" s="19">
        <v>80000</v>
      </c>
      <c r="B48" s="22">
        <v>80000</v>
      </c>
      <c r="C48" s="22">
        <f t="shared" si="9"/>
        <v>90000</v>
      </c>
      <c r="D48" s="22">
        <v>120000</v>
      </c>
      <c r="E48" s="22">
        <f t="shared" si="10"/>
        <v>30000</v>
      </c>
      <c r="F48" s="22">
        <v>0.25</v>
      </c>
      <c r="G48" s="22">
        <f t="shared" si="11"/>
        <v>7500</v>
      </c>
    </row>
    <row r="49" spans="1:7" x14ac:dyDescent="0.2">
      <c r="A49" s="19">
        <v>100000</v>
      </c>
      <c r="B49" s="22">
        <v>100000</v>
      </c>
      <c r="C49" s="22">
        <f t="shared" si="9"/>
        <v>90000</v>
      </c>
      <c r="D49" s="22">
        <v>150000</v>
      </c>
      <c r="E49" s="22">
        <f t="shared" si="10"/>
        <v>60000</v>
      </c>
      <c r="F49" s="22">
        <v>0.25</v>
      </c>
      <c r="G49" s="22">
        <f t="shared" si="11"/>
        <v>15000</v>
      </c>
    </row>
    <row r="50" spans="1:7" x14ac:dyDescent="0.2">
      <c r="A50" s="19">
        <v>120000</v>
      </c>
      <c r="B50" s="22">
        <v>100000</v>
      </c>
      <c r="C50" s="22">
        <f t="shared" si="9"/>
        <v>90000</v>
      </c>
      <c r="D50" s="22">
        <v>150000</v>
      </c>
      <c r="E50" s="22">
        <f t="shared" si="10"/>
        <v>60000</v>
      </c>
      <c r="F50" s="22">
        <v>0.15</v>
      </c>
      <c r="G50" s="22">
        <f t="shared" si="11"/>
        <v>9000</v>
      </c>
    </row>
    <row r="51" spans="1:7" x14ac:dyDescent="0.2">
      <c r="A51" s="19">
        <v>140000</v>
      </c>
      <c r="B51" s="22">
        <v>100000</v>
      </c>
      <c r="C51" s="22">
        <f t="shared" si="9"/>
        <v>90000</v>
      </c>
      <c r="D51" s="22">
        <v>150000</v>
      </c>
      <c r="E51" s="22">
        <f t="shared" si="10"/>
        <v>60000</v>
      </c>
      <c r="F51" s="22">
        <v>0.05</v>
      </c>
      <c r="G51" s="22">
        <f t="shared" si="11"/>
        <v>3000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4">
        <f>SUM(G46:G51)</f>
        <v>30000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5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6*18000</f>
        <v>108000</v>
      </c>
      <c r="D56" s="22">
        <v>60000</v>
      </c>
      <c r="E56" s="22">
        <f>D56-C56</f>
        <v>-48000</v>
      </c>
      <c r="F56" s="22">
        <v>0.15</v>
      </c>
      <c r="G56" s="22">
        <f>SUMPRODUCT(F56,E56)</f>
        <v>-7200</v>
      </c>
    </row>
    <row r="57" spans="1:7" x14ac:dyDescent="0.2">
      <c r="A57" s="19">
        <v>60000</v>
      </c>
      <c r="B57" s="22">
        <v>60000</v>
      </c>
      <c r="C57" s="22">
        <f t="shared" ref="C57:C61" si="12">6*18000</f>
        <v>108000</v>
      </c>
      <c r="D57" s="22">
        <v>90000</v>
      </c>
      <c r="E57" s="22">
        <f t="shared" ref="E57:E61" si="13">D57-C57</f>
        <v>-18000</v>
      </c>
      <c r="F57" s="22">
        <v>0.15</v>
      </c>
      <c r="G57" s="22">
        <f t="shared" ref="G57:G61" si="14">SUMPRODUCT(F57,E57)</f>
        <v>-2700</v>
      </c>
    </row>
    <row r="58" spans="1:7" x14ac:dyDescent="0.2">
      <c r="A58" s="19">
        <v>80000</v>
      </c>
      <c r="B58" s="22">
        <v>80000</v>
      </c>
      <c r="C58" s="22">
        <f t="shared" si="12"/>
        <v>108000</v>
      </c>
      <c r="D58" s="22">
        <v>120000</v>
      </c>
      <c r="E58" s="22">
        <f t="shared" si="13"/>
        <v>12000</v>
      </c>
      <c r="F58" s="22">
        <v>0.25</v>
      </c>
      <c r="G58" s="22">
        <f t="shared" si="14"/>
        <v>3000</v>
      </c>
    </row>
    <row r="59" spans="1:7" x14ac:dyDescent="0.2">
      <c r="A59" s="19">
        <v>100000</v>
      </c>
      <c r="B59" s="22">
        <v>100000</v>
      </c>
      <c r="C59" s="22">
        <f t="shared" si="12"/>
        <v>108000</v>
      </c>
      <c r="D59" s="22">
        <v>150000</v>
      </c>
      <c r="E59" s="22">
        <f t="shared" si="13"/>
        <v>42000</v>
      </c>
      <c r="F59" s="22">
        <v>0.25</v>
      </c>
      <c r="G59" s="22">
        <f t="shared" si="14"/>
        <v>10500</v>
      </c>
    </row>
    <row r="60" spans="1:7" x14ac:dyDescent="0.2">
      <c r="A60" s="19">
        <v>120000</v>
      </c>
      <c r="B60" s="22">
        <v>120000</v>
      </c>
      <c r="C60" s="22">
        <f t="shared" si="12"/>
        <v>108000</v>
      </c>
      <c r="D60" s="22">
        <v>180000</v>
      </c>
      <c r="E60" s="22">
        <f t="shared" si="13"/>
        <v>72000</v>
      </c>
      <c r="F60" s="22">
        <v>0.15</v>
      </c>
      <c r="G60" s="22">
        <f t="shared" si="14"/>
        <v>10800</v>
      </c>
    </row>
    <row r="61" spans="1:7" x14ac:dyDescent="0.2">
      <c r="A61" s="19">
        <v>140000</v>
      </c>
      <c r="B61" s="22">
        <v>120000</v>
      </c>
      <c r="C61" s="22">
        <f t="shared" si="12"/>
        <v>108000</v>
      </c>
      <c r="D61" s="22">
        <v>180000</v>
      </c>
      <c r="E61" s="22">
        <f t="shared" si="13"/>
        <v>72000</v>
      </c>
      <c r="F61" s="22">
        <v>0.05</v>
      </c>
      <c r="G61" s="22">
        <f t="shared" si="14"/>
        <v>3600</v>
      </c>
    </row>
    <row r="62" spans="1:7" x14ac:dyDescent="0.2">
      <c r="A62" s="48"/>
      <c r="B62" s="49"/>
      <c r="C62" s="49"/>
      <c r="D62" s="49"/>
      <c r="E62" s="50"/>
      <c r="F62" s="21" t="s">
        <v>19</v>
      </c>
      <c r="G62" s="24">
        <f>SUM(G56:G61)</f>
        <v>18000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5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7*18000</f>
        <v>126000</v>
      </c>
      <c r="D66" s="22">
        <v>60000</v>
      </c>
      <c r="E66" s="22">
        <f>D66-C66</f>
        <v>-66000</v>
      </c>
      <c r="F66" s="22">
        <v>0.15</v>
      </c>
      <c r="G66" s="22">
        <f>SUMPRODUCT(F66,E66)</f>
        <v>-9900</v>
      </c>
    </row>
    <row r="67" spans="1:7" x14ac:dyDescent="0.2">
      <c r="A67" s="19">
        <v>60000</v>
      </c>
      <c r="B67" s="22">
        <v>60000</v>
      </c>
      <c r="C67" s="22">
        <f t="shared" ref="C67:C71" si="15">7*18000</f>
        <v>126000</v>
      </c>
      <c r="D67" s="22">
        <v>90000</v>
      </c>
      <c r="E67" s="22">
        <f t="shared" ref="E67:E71" si="16">D67-C67</f>
        <v>-36000</v>
      </c>
      <c r="F67" s="22">
        <v>0.15</v>
      </c>
      <c r="G67" s="22">
        <f t="shared" ref="G67:G71" si="17">SUMPRODUCT(F67,E67)</f>
        <v>-5400</v>
      </c>
    </row>
    <row r="68" spans="1:7" x14ac:dyDescent="0.2">
      <c r="A68" s="19">
        <v>80000</v>
      </c>
      <c r="B68" s="22">
        <v>80000</v>
      </c>
      <c r="C68" s="22">
        <f t="shared" si="15"/>
        <v>126000</v>
      </c>
      <c r="D68" s="22">
        <v>120000</v>
      </c>
      <c r="E68" s="22">
        <f t="shared" si="16"/>
        <v>-6000</v>
      </c>
      <c r="F68" s="22">
        <v>0.25</v>
      </c>
      <c r="G68" s="22">
        <f t="shared" si="17"/>
        <v>-1500</v>
      </c>
    </row>
    <row r="69" spans="1:7" x14ac:dyDescent="0.2">
      <c r="A69" s="19">
        <v>100000</v>
      </c>
      <c r="B69" s="22">
        <v>100000</v>
      </c>
      <c r="C69" s="22">
        <f t="shared" si="15"/>
        <v>126000</v>
      </c>
      <c r="D69" s="22">
        <v>150000</v>
      </c>
      <c r="E69" s="22">
        <f t="shared" si="16"/>
        <v>24000</v>
      </c>
      <c r="F69" s="22">
        <v>0.25</v>
      </c>
      <c r="G69" s="22">
        <f t="shared" si="17"/>
        <v>6000</v>
      </c>
    </row>
    <row r="70" spans="1:7" x14ac:dyDescent="0.2">
      <c r="A70" s="19">
        <v>120000</v>
      </c>
      <c r="B70" s="22">
        <v>120000</v>
      </c>
      <c r="C70" s="22">
        <f t="shared" si="15"/>
        <v>126000</v>
      </c>
      <c r="D70" s="22">
        <v>180000</v>
      </c>
      <c r="E70" s="22">
        <f t="shared" si="16"/>
        <v>54000</v>
      </c>
      <c r="F70" s="22">
        <v>0.15</v>
      </c>
      <c r="G70" s="22">
        <f t="shared" si="17"/>
        <v>8100</v>
      </c>
    </row>
    <row r="71" spans="1:7" x14ac:dyDescent="0.2">
      <c r="A71" s="19">
        <v>140000</v>
      </c>
      <c r="B71" s="22">
        <v>140000</v>
      </c>
      <c r="C71" s="22">
        <f t="shared" si="15"/>
        <v>126000</v>
      </c>
      <c r="D71" s="22">
        <v>210000</v>
      </c>
      <c r="E71" s="22">
        <f t="shared" si="16"/>
        <v>84000</v>
      </c>
      <c r="F71" s="22">
        <v>0.05</v>
      </c>
      <c r="G71" s="22">
        <f t="shared" si="17"/>
        <v>4200</v>
      </c>
    </row>
    <row r="72" spans="1:7" x14ac:dyDescent="0.2">
      <c r="A72" s="48"/>
      <c r="B72" s="49"/>
      <c r="C72" s="49"/>
      <c r="D72" s="49"/>
      <c r="E72" s="50"/>
      <c r="F72" s="21" t="s">
        <v>19</v>
      </c>
      <c r="G72" s="24">
        <f>SUM(G66:G71)</f>
        <v>1500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24000</v>
      </c>
      <c r="C78" s="22">
        <v>2</v>
      </c>
    </row>
    <row r="79" spans="1:7" x14ac:dyDescent="0.2">
      <c r="A79" s="19">
        <v>60000</v>
      </c>
      <c r="B79" s="24">
        <v>31500</v>
      </c>
      <c r="C79" s="22">
        <v>3</v>
      </c>
    </row>
    <row r="80" spans="1:7" x14ac:dyDescent="0.2">
      <c r="A80" s="29">
        <v>80000</v>
      </c>
      <c r="B80" s="25">
        <v>34500</v>
      </c>
      <c r="C80" s="30">
        <v>4</v>
      </c>
    </row>
    <row r="81" spans="1:3" x14ac:dyDescent="0.2">
      <c r="A81" s="19">
        <v>100000</v>
      </c>
      <c r="B81" s="24">
        <v>30000</v>
      </c>
      <c r="C81" s="22">
        <v>5</v>
      </c>
    </row>
    <row r="82" spans="1:3" x14ac:dyDescent="0.2">
      <c r="A82" s="19">
        <v>120000</v>
      </c>
      <c r="B82" s="24">
        <v>18000</v>
      </c>
      <c r="C82" s="22">
        <v>6</v>
      </c>
    </row>
    <row r="83" spans="1:3" x14ac:dyDescent="0.2">
      <c r="A83" s="19">
        <v>140000</v>
      </c>
      <c r="B83" s="24">
        <v>1500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3"/>
  <sheetViews>
    <sheetView topLeftCell="A59" workbookViewId="0">
      <selection activeCell="C77" sqref="C77:C83"/>
    </sheetView>
  </sheetViews>
  <sheetFormatPr baseColWidth="10" defaultColWidth="8.83203125" defaultRowHeight="15" x14ac:dyDescent="0.2"/>
  <cols>
    <col min="1" max="1" width="30.33203125" customWidth="1"/>
    <col min="2" max="2" width="32.33203125" customWidth="1"/>
    <col min="3" max="3" width="38.5" customWidth="1"/>
    <col min="4" max="4" width="18.33203125" customWidth="1"/>
    <col min="5" max="5" width="23.1640625" customWidth="1"/>
    <col min="6" max="6" width="21.1640625" customWidth="1"/>
    <col min="7" max="7" width="19.6640625" customWidth="1"/>
    <col min="8" max="8" width="22.33203125" customWidth="1"/>
  </cols>
  <sheetData>
    <row r="1" spans="1:9" ht="16" x14ac:dyDescent="0.2">
      <c r="A1" s="11" t="s">
        <v>0</v>
      </c>
      <c r="B1" s="12" t="s">
        <v>1</v>
      </c>
      <c r="C1" s="1"/>
      <c r="D1" s="1"/>
      <c r="E1" s="1"/>
      <c r="F1" s="1"/>
      <c r="G1" s="1"/>
      <c r="H1" s="1"/>
      <c r="I1" s="1"/>
    </row>
    <row r="2" spans="1:9" ht="16" x14ac:dyDescent="0.2">
      <c r="A2" s="13" t="s">
        <v>2</v>
      </c>
      <c r="B2" s="14">
        <v>1.7</v>
      </c>
    </row>
    <row r="3" spans="1:9" ht="16" x14ac:dyDescent="0.2">
      <c r="A3" s="13" t="s">
        <v>3</v>
      </c>
      <c r="B3" s="14">
        <v>14000</v>
      </c>
    </row>
    <row r="4" spans="1:9" ht="16" x14ac:dyDescent="0.2">
      <c r="A4" s="13" t="s">
        <v>4</v>
      </c>
      <c r="B4" s="14">
        <v>20000</v>
      </c>
    </row>
    <row r="5" spans="1:9" ht="16" x14ac:dyDescent="0.2">
      <c r="A5" s="13" t="s">
        <v>5</v>
      </c>
      <c r="B5" s="14" t="s">
        <v>6</v>
      </c>
    </row>
    <row r="6" spans="1:9" ht="16" x14ac:dyDescent="0.2">
      <c r="A6" s="13" t="s">
        <v>7</v>
      </c>
      <c r="B6" s="14" t="s">
        <v>8</v>
      </c>
    </row>
    <row r="7" spans="1:9" ht="16" x14ac:dyDescent="0.2">
      <c r="A7" s="13" t="s">
        <v>9</v>
      </c>
      <c r="B7" s="14" t="s">
        <v>10</v>
      </c>
    </row>
    <row r="14" spans="1:9" x14ac:dyDescent="0.2">
      <c r="A14" s="51" t="s">
        <v>16</v>
      </c>
      <c r="B14" s="52"/>
      <c r="C14" s="52"/>
      <c r="D14" s="52"/>
      <c r="E14" s="52"/>
      <c r="F14" s="52"/>
      <c r="G14" s="53"/>
    </row>
    <row r="15" spans="1:9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9" x14ac:dyDescent="0.2">
      <c r="A16" s="19">
        <v>40000</v>
      </c>
      <c r="B16" s="22">
        <v>40000</v>
      </c>
      <c r="C16" s="22">
        <f>2*14000</f>
        <v>28000</v>
      </c>
      <c r="D16" s="22">
        <f>MIN(A16,A16)*1.7</f>
        <v>68000</v>
      </c>
      <c r="E16" s="22">
        <f>D16-C16</f>
        <v>40000</v>
      </c>
      <c r="F16" s="22">
        <v>0.15</v>
      </c>
      <c r="G16" s="22">
        <f>SUMPRODUCT(F16,E16)</f>
        <v>6000</v>
      </c>
    </row>
    <row r="17" spans="1:7" x14ac:dyDescent="0.2">
      <c r="A17" s="19">
        <v>60000</v>
      </c>
      <c r="B17" s="22">
        <v>40000</v>
      </c>
      <c r="C17" s="22">
        <v>28000</v>
      </c>
      <c r="D17" s="22">
        <v>68000</v>
      </c>
      <c r="E17" s="22">
        <f t="shared" ref="E17:E21" si="0">D17-C17</f>
        <v>40000</v>
      </c>
      <c r="F17" s="22">
        <v>0.15</v>
      </c>
      <c r="G17" s="22">
        <f t="shared" ref="G17:G21" si="1">SUMPRODUCT(F17,E17)</f>
        <v>6000</v>
      </c>
    </row>
    <row r="18" spans="1:7" x14ac:dyDescent="0.2">
      <c r="A18" s="19">
        <v>80000</v>
      </c>
      <c r="B18" s="22">
        <v>40000</v>
      </c>
      <c r="C18" s="22">
        <v>28000</v>
      </c>
      <c r="D18" s="22">
        <v>68000</v>
      </c>
      <c r="E18" s="22">
        <f t="shared" si="0"/>
        <v>40000</v>
      </c>
      <c r="F18" s="22">
        <v>0.25</v>
      </c>
      <c r="G18" s="22">
        <f t="shared" si="1"/>
        <v>10000</v>
      </c>
    </row>
    <row r="19" spans="1:7" x14ac:dyDescent="0.2">
      <c r="A19" s="19">
        <v>100000</v>
      </c>
      <c r="B19" s="22">
        <v>40000</v>
      </c>
      <c r="C19" s="22">
        <v>28000</v>
      </c>
      <c r="D19" s="22">
        <v>68000</v>
      </c>
      <c r="E19" s="22">
        <f t="shared" si="0"/>
        <v>40000</v>
      </c>
      <c r="F19" s="22">
        <v>0.25</v>
      </c>
      <c r="G19" s="22">
        <f t="shared" si="1"/>
        <v>10000</v>
      </c>
    </row>
    <row r="20" spans="1:7" x14ac:dyDescent="0.2">
      <c r="A20" s="19">
        <v>120000</v>
      </c>
      <c r="B20" s="22">
        <v>40000</v>
      </c>
      <c r="C20" s="22">
        <v>28000</v>
      </c>
      <c r="D20" s="22">
        <v>68000</v>
      </c>
      <c r="E20" s="22">
        <f t="shared" si="0"/>
        <v>40000</v>
      </c>
      <c r="F20" s="22">
        <v>0.15</v>
      </c>
      <c r="G20" s="22">
        <f t="shared" si="1"/>
        <v>6000</v>
      </c>
    </row>
    <row r="21" spans="1:7" x14ac:dyDescent="0.2">
      <c r="A21" s="19">
        <v>140000</v>
      </c>
      <c r="B21" s="22">
        <v>40000</v>
      </c>
      <c r="C21" s="22">
        <v>28000</v>
      </c>
      <c r="D21" s="22">
        <v>68000</v>
      </c>
      <c r="E21" s="22">
        <f t="shared" si="0"/>
        <v>40000</v>
      </c>
      <c r="F21" s="22">
        <v>0.05</v>
      </c>
      <c r="G21" s="22">
        <f t="shared" si="1"/>
        <v>2000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40000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3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3*14000</f>
        <v>42000</v>
      </c>
      <c r="D26" s="22">
        <f>MIN(A26,A26)*1.7</f>
        <v>68000</v>
      </c>
      <c r="E26" s="22">
        <f>D26-C26</f>
        <v>26000</v>
      </c>
      <c r="F26" s="22">
        <v>0.15</v>
      </c>
      <c r="G26" s="22">
        <f>SUMPRODUCT(F26,E26)</f>
        <v>3900</v>
      </c>
    </row>
    <row r="27" spans="1:7" x14ac:dyDescent="0.2">
      <c r="A27" s="19">
        <v>60000</v>
      </c>
      <c r="B27" s="22">
        <v>60000</v>
      </c>
      <c r="C27" s="22">
        <f t="shared" ref="C27:C31" si="2">3*14000</f>
        <v>42000</v>
      </c>
      <c r="D27" s="22">
        <f>MIN(A27,A27)*1.7</f>
        <v>102000</v>
      </c>
      <c r="E27" s="22">
        <f t="shared" ref="E27:E31" si="3">D27-C27</f>
        <v>60000</v>
      </c>
      <c r="F27" s="22">
        <v>0.15</v>
      </c>
      <c r="G27" s="22">
        <f t="shared" ref="G27:G31" si="4">SUMPRODUCT(F27,E27)</f>
        <v>9000</v>
      </c>
    </row>
    <row r="28" spans="1:7" x14ac:dyDescent="0.2">
      <c r="A28" s="19">
        <v>80000</v>
      </c>
      <c r="B28" s="22">
        <v>60000</v>
      </c>
      <c r="C28" s="22">
        <f t="shared" si="2"/>
        <v>42000</v>
      </c>
      <c r="D28" s="22">
        <v>102000</v>
      </c>
      <c r="E28" s="22">
        <f t="shared" si="3"/>
        <v>60000</v>
      </c>
      <c r="F28" s="22">
        <v>0.25</v>
      </c>
      <c r="G28" s="22">
        <f t="shared" si="4"/>
        <v>15000</v>
      </c>
    </row>
    <row r="29" spans="1:7" x14ac:dyDescent="0.2">
      <c r="A29" s="19">
        <v>100000</v>
      </c>
      <c r="B29" s="22">
        <v>60000</v>
      </c>
      <c r="C29" s="22">
        <f t="shared" si="2"/>
        <v>42000</v>
      </c>
      <c r="D29" s="22">
        <v>102000</v>
      </c>
      <c r="E29" s="22">
        <f t="shared" si="3"/>
        <v>60000</v>
      </c>
      <c r="F29" s="22">
        <v>0.25</v>
      </c>
      <c r="G29" s="22">
        <f t="shared" si="4"/>
        <v>15000</v>
      </c>
    </row>
    <row r="30" spans="1:7" x14ac:dyDescent="0.2">
      <c r="A30" s="19">
        <v>120000</v>
      </c>
      <c r="B30" s="22">
        <v>60000</v>
      </c>
      <c r="C30" s="22">
        <f t="shared" si="2"/>
        <v>42000</v>
      </c>
      <c r="D30" s="22">
        <v>102000</v>
      </c>
      <c r="E30" s="22">
        <f t="shared" si="3"/>
        <v>60000</v>
      </c>
      <c r="F30" s="22">
        <v>0.15</v>
      </c>
      <c r="G30" s="22">
        <f t="shared" si="4"/>
        <v>9000</v>
      </c>
    </row>
    <row r="31" spans="1:7" x14ac:dyDescent="0.2">
      <c r="A31" s="19">
        <v>140000</v>
      </c>
      <c r="B31" s="22">
        <v>60000</v>
      </c>
      <c r="C31" s="22">
        <f t="shared" si="2"/>
        <v>42000</v>
      </c>
      <c r="D31" s="22">
        <v>102000</v>
      </c>
      <c r="E31" s="22">
        <f t="shared" si="3"/>
        <v>60000</v>
      </c>
      <c r="F31" s="22">
        <v>0.05</v>
      </c>
      <c r="G31" s="22">
        <f t="shared" si="4"/>
        <v>3000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54900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3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4*14000</f>
        <v>56000</v>
      </c>
      <c r="D36" s="22">
        <f>MIN(A36,A36)*1.7</f>
        <v>68000</v>
      </c>
      <c r="E36" s="22">
        <f>D36-C36</f>
        <v>12000</v>
      </c>
      <c r="F36" s="22">
        <v>0.15</v>
      </c>
      <c r="G36" s="22">
        <f>SUMPRODUCT(F36,E36)</f>
        <v>1800</v>
      </c>
    </row>
    <row r="37" spans="1:7" x14ac:dyDescent="0.2">
      <c r="A37" s="19">
        <v>60000</v>
      </c>
      <c r="B37" s="22">
        <v>60000</v>
      </c>
      <c r="C37" s="22">
        <f t="shared" ref="C37:C41" si="5">4*14000</f>
        <v>56000</v>
      </c>
      <c r="D37" s="22">
        <f>MIN(A37,A37)*1.7</f>
        <v>102000</v>
      </c>
      <c r="E37" s="22">
        <f t="shared" ref="E37:E41" si="6">D37-C37</f>
        <v>46000</v>
      </c>
      <c r="F37" s="22">
        <v>0.15</v>
      </c>
      <c r="G37" s="22">
        <f t="shared" ref="G37:G41" si="7">SUMPRODUCT(F37,E37)</f>
        <v>6900</v>
      </c>
    </row>
    <row r="38" spans="1:7" x14ac:dyDescent="0.2">
      <c r="A38" s="19">
        <v>80000</v>
      </c>
      <c r="B38" s="22">
        <v>80000</v>
      </c>
      <c r="C38" s="22">
        <f t="shared" si="5"/>
        <v>56000</v>
      </c>
      <c r="D38" s="22">
        <f>MIN(A38,A38)*1.7</f>
        <v>136000</v>
      </c>
      <c r="E38" s="22">
        <f t="shared" si="6"/>
        <v>80000</v>
      </c>
      <c r="F38" s="22">
        <v>0.25</v>
      </c>
      <c r="G38" s="22">
        <f t="shared" si="7"/>
        <v>20000</v>
      </c>
    </row>
    <row r="39" spans="1:7" x14ac:dyDescent="0.2">
      <c r="A39" s="19">
        <v>100000</v>
      </c>
      <c r="B39" s="22">
        <v>80000</v>
      </c>
      <c r="C39" s="22">
        <f t="shared" si="5"/>
        <v>56000</v>
      </c>
      <c r="D39" s="22">
        <v>136000</v>
      </c>
      <c r="E39" s="22">
        <f t="shared" si="6"/>
        <v>80000</v>
      </c>
      <c r="F39" s="22">
        <v>0.25</v>
      </c>
      <c r="G39" s="22">
        <f t="shared" si="7"/>
        <v>20000</v>
      </c>
    </row>
    <row r="40" spans="1:7" x14ac:dyDescent="0.2">
      <c r="A40" s="19">
        <v>120000</v>
      </c>
      <c r="B40" s="22">
        <v>80000</v>
      </c>
      <c r="C40" s="22">
        <f t="shared" si="5"/>
        <v>56000</v>
      </c>
      <c r="D40" s="22">
        <v>136000</v>
      </c>
      <c r="E40" s="22">
        <f t="shared" si="6"/>
        <v>80000</v>
      </c>
      <c r="F40" s="22">
        <v>0.15</v>
      </c>
      <c r="G40" s="22">
        <f t="shared" si="7"/>
        <v>12000</v>
      </c>
    </row>
    <row r="41" spans="1:7" x14ac:dyDescent="0.2">
      <c r="A41" s="19">
        <v>140000</v>
      </c>
      <c r="B41" s="22">
        <v>80000</v>
      </c>
      <c r="C41" s="22">
        <f t="shared" si="5"/>
        <v>56000</v>
      </c>
      <c r="D41" s="22">
        <v>136000</v>
      </c>
      <c r="E41" s="22">
        <f t="shared" si="6"/>
        <v>80000</v>
      </c>
      <c r="F41" s="22">
        <v>0.05</v>
      </c>
      <c r="G41" s="22">
        <f t="shared" si="7"/>
        <v>4000</v>
      </c>
    </row>
    <row r="42" spans="1:7" x14ac:dyDescent="0.2">
      <c r="A42" s="48"/>
      <c r="B42" s="49"/>
      <c r="C42" s="49"/>
      <c r="D42" s="49"/>
      <c r="E42" s="54"/>
      <c r="F42" s="21" t="s">
        <v>19</v>
      </c>
      <c r="G42" s="24">
        <f>SUM(G36:G41)</f>
        <v>64700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3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5*14000</f>
        <v>70000</v>
      </c>
      <c r="D46" s="22">
        <v>68000</v>
      </c>
      <c r="E46" s="22">
        <f>D46-C46</f>
        <v>-2000</v>
      </c>
      <c r="F46" s="22">
        <v>0.15</v>
      </c>
      <c r="G46" s="22">
        <f>SUMPRODUCT(F46,E46)</f>
        <v>-300</v>
      </c>
    </row>
    <row r="47" spans="1:7" x14ac:dyDescent="0.2">
      <c r="A47" s="19">
        <v>60000</v>
      </c>
      <c r="B47" s="22">
        <v>60000</v>
      </c>
      <c r="C47" s="22">
        <f t="shared" ref="C47:C51" si="8">5*14000</f>
        <v>70000</v>
      </c>
      <c r="D47" s="22">
        <v>102000</v>
      </c>
      <c r="E47" s="22">
        <f t="shared" ref="E47:E51" si="9">D47-C47</f>
        <v>32000</v>
      </c>
      <c r="F47" s="22">
        <v>0.15</v>
      </c>
      <c r="G47" s="22">
        <f t="shared" ref="G47:G51" si="10">SUMPRODUCT(F47,E47)</f>
        <v>4800</v>
      </c>
    </row>
    <row r="48" spans="1:7" x14ac:dyDescent="0.2">
      <c r="A48" s="19">
        <v>80000</v>
      </c>
      <c r="B48" s="22">
        <v>80000</v>
      </c>
      <c r="C48" s="22">
        <f t="shared" si="8"/>
        <v>70000</v>
      </c>
      <c r="D48" s="22">
        <v>136000</v>
      </c>
      <c r="E48" s="22">
        <f t="shared" si="9"/>
        <v>66000</v>
      </c>
      <c r="F48" s="22">
        <v>0.25</v>
      </c>
      <c r="G48" s="22">
        <f t="shared" si="10"/>
        <v>16500</v>
      </c>
    </row>
    <row r="49" spans="1:7" x14ac:dyDescent="0.2">
      <c r="A49" s="19">
        <v>100000</v>
      </c>
      <c r="B49" s="22">
        <v>100000</v>
      </c>
      <c r="C49" s="22">
        <f t="shared" si="8"/>
        <v>70000</v>
      </c>
      <c r="D49" s="22">
        <f>MIN(A49,A49)*1.7</f>
        <v>170000</v>
      </c>
      <c r="E49" s="22">
        <f t="shared" si="9"/>
        <v>100000</v>
      </c>
      <c r="F49" s="22">
        <v>0.25</v>
      </c>
      <c r="G49" s="22">
        <f t="shared" si="10"/>
        <v>25000</v>
      </c>
    </row>
    <row r="50" spans="1:7" x14ac:dyDescent="0.2">
      <c r="A50" s="19">
        <v>120000</v>
      </c>
      <c r="B50" s="22">
        <v>100000</v>
      </c>
      <c r="C50" s="22">
        <f t="shared" si="8"/>
        <v>70000</v>
      </c>
      <c r="D50" s="22">
        <v>170000</v>
      </c>
      <c r="E50" s="22">
        <f t="shared" si="9"/>
        <v>100000</v>
      </c>
      <c r="F50" s="22">
        <v>0.15</v>
      </c>
      <c r="G50" s="22">
        <f t="shared" si="10"/>
        <v>15000</v>
      </c>
    </row>
    <row r="51" spans="1:7" x14ac:dyDescent="0.2">
      <c r="A51" s="19">
        <v>140000</v>
      </c>
      <c r="B51" s="22">
        <v>100000</v>
      </c>
      <c r="C51" s="22">
        <f t="shared" si="8"/>
        <v>70000</v>
      </c>
      <c r="D51" s="22">
        <v>170000</v>
      </c>
      <c r="E51" s="22">
        <f t="shared" si="9"/>
        <v>100000</v>
      </c>
      <c r="F51" s="22">
        <v>0.05</v>
      </c>
      <c r="G51" s="22">
        <f t="shared" si="10"/>
        <v>5000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8">
        <f>SUM(G46:G51)</f>
        <v>66000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3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6*14000</f>
        <v>84000</v>
      </c>
      <c r="D56" s="22">
        <v>68000</v>
      </c>
      <c r="E56" s="22">
        <f>D56-C56</f>
        <v>-16000</v>
      </c>
      <c r="F56" s="22">
        <v>0.15</v>
      </c>
      <c r="G56" s="22">
        <f>SUMPRODUCT(F56,E56)</f>
        <v>-2400</v>
      </c>
    </row>
    <row r="57" spans="1:7" x14ac:dyDescent="0.2">
      <c r="A57" s="19">
        <v>60000</v>
      </c>
      <c r="B57" s="22">
        <v>60000</v>
      </c>
      <c r="C57" s="22">
        <f t="shared" ref="C57:C61" si="11">6*14000</f>
        <v>84000</v>
      </c>
      <c r="D57" s="22">
        <v>102000</v>
      </c>
      <c r="E57" s="22">
        <f t="shared" ref="E57:E61" si="12">D57-C57</f>
        <v>18000</v>
      </c>
      <c r="F57" s="22">
        <v>0.15</v>
      </c>
      <c r="G57" s="22">
        <f t="shared" ref="G57:G61" si="13">SUMPRODUCT(F57,E57)</f>
        <v>2700</v>
      </c>
    </row>
    <row r="58" spans="1:7" x14ac:dyDescent="0.2">
      <c r="A58" s="19">
        <v>80000</v>
      </c>
      <c r="B58" s="22">
        <v>80000</v>
      </c>
      <c r="C58" s="22">
        <f t="shared" si="11"/>
        <v>84000</v>
      </c>
      <c r="D58" s="22">
        <v>136000</v>
      </c>
      <c r="E58" s="22">
        <f t="shared" si="12"/>
        <v>52000</v>
      </c>
      <c r="F58" s="22">
        <v>0.25</v>
      </c>
      <c r="G58" s="22">
        <f t="shared" si="13"/>
        <v>13000</v>
      </c>
    </row>
    <row r="59" spans="1:7" x14ac:dyDescent="0.2">
      <c r="A59" s="19">
        <v>100000</v>
      </c>
      <c r="B59" s="22">
        <v>100000</v>
      </c>
      <c r="C59" s="22">
        <f t="shared" si="11"/>
        <v>84000</v>
      </c>
      <c r="D59" s="22">
        <v>170000</v>
      </c>
      <c r="E59" s="22">
        <f t="shared" si="12"/>
        <v>86000</v>
      </c>
      <c r="F59" s="22">
        <v>0.25</v>
      </c>
      <c r="G59" s="22">
        <f t="shared" si="13"/>
        <v>21500</v>
      </c>
    </row>
    <row r="60" spans="1:7" x14ac:dyDescent="0.2">
      <c r="A60" s="19">
        <v>120000</v>
      </c>
      <c r="B60" s="22">
        <v>120000</v>
      </c>
      <c r="C60" s="22">
        <f t="shared" si="11"/>
        <v>84000</v>
      </c>
      <c r="D60" s="22">
        <f>MIN(A60,A60)*1.7</f>
        <v>204000</v>
      </c>
      <c r="E60" s="22">
        <f t="shared" si="12"/>
        <v>120000</v>
      </c>
      <c r="F60" s="22">
        <v>0.15</v>
      </c>
      <c r="G60" s="22">
        <f t="shared" si="13"/>
        <v>18000</v>
      </c>
    </row>
    <row r="61" spans="1:7" x14ac:dyDescent="0.2">
      <c r="A61" s="19">
        <v>140000</v>
      </c>
      <c r="B61" s="22">
        <v>120000</v>
      </c>
      <c r="C61" s="22">
        <f t="shared" si="11"/>
        <v>84000</v>
      </c>
      <c r="D61" s="22">
        <v>204000</v>
      </c>
      <c r="E61" s="22">
        <f t="shared" si="12"/>
        <v>120000</v>
      </c>
      <c r="F61" s="22">
        <v>0.05</v>
      </c>
      <c r="G61" s="22">
        <f t="shared" si="13"/>
        <v>6000</v>
      </c>
    </row>
    <row r="62" spans="1:7" x14ac:dyDescent="0.2">
      <c r="A62" s="48"/>
      <c r="B62" s="49"/>
      <c r="C62" s="49"/>
      <c r="D62" s="49"/>
      <c r="E62" s="54"/>
      <c r="F62" s="21" t="s">
        <v>19</v>
      </c>
      <c r="G62" s="24">
        <f>SUM(G56:G61)</f>
        <v>58800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3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7*14000</f>
        <v>98000</v>
      </c>
      <c r="D66" s="22">
        <f>MIN(A66,A66)*1.7</f>
        <v>68000</v>
      </c>
      <c r="E66" s="22">
        <f>D66-C66</f>
        <v>-30000</v>
      </c>
      <c r="F66" s="22">
        <v>0.15</v>
      </c>
      <c r="G66" s="22">
        <f>SUMPRODUCT(F66,E66)</f>
        <v>-4500</v>
      </c>
    </row>
    <row r="67" spans="1:7" x14ac:dyDescent="0.2">
      <c r="A67" s="19">
        <v>60000</v>
      </c>
      <c r="B67" s="22">
        <v>60000</v>
      </c>
      <c r="C67" s="22">
        <f t="shared" ref="C67:C71" si="14">7*14000</f>
        <v>98000</v>
      </c>
      <c r="D67" s="22">
        <f t="shared" ref="D67:D71" si="15">MIN(A67,A67)*1.7</f>
        <v>102000</v>
      </c>
      <c r="E67" s="22">
        <f t="shared" ref="E67:E71" si="16">D67-C67</f>
        <v>4000</v>
      </c>
      <c r="F67" s="22">
        <v>0.15</v>
      </c>
      <c r="G67" s="22">
        <f t="shared" ref="G67:G71" si="17">SUMPRODUCT(F67,E67)</f>
        <v>600</v>
      </c>
    </row>
    <row r="68" spans="1:7" x14ac:dyDescent="0.2">
      <c r="A68" s="19">
        <v>80000</v>
      </c>
      <c r="B68" s="22">
        <v>80000</v>
      </c>
      <c r="C68" s="22">
        <f t="shared" si="14"/>
        <v>98000</v>
      </c>
      <c r="D68" s="22">
        <f t="shared" si="15"/>
        <v>136000</v>
      </c>
      <c r="E68" s="22">
        <f t="shared" si="16"/>
        <v>38000</v>
      </c>
      <c r="F68" s="22">
        <v>0.25</v>
      </c>
      <c r="G68" s="22">
        <f t="shared" si="17"/>
        <v>9500</v>
      </c>
    </row>
    <row r="69" spans="1:7" x14ac:dyDescent="0.2">
      <c r="A69" s="19">
        <v>100000</v>
      </c>
      <c r="B69" s="22">
        <v>100000</v>
      </c>
      <c r="C69" s="22">
        <f t="shared" si="14"/>
        <v>98000</v>
      </c>
      <c r="D69" s="22">
        <f t="shared" si="15"/>
        <v>170000</v>
      </c>
      <c r="E69" s="22">
        <f t="shared" si="16"/>
        <v>72000</v>
      </c>
      <c r="F69" s="22">
        <v>0.25</v>
      </c>
      <c r="G69" s="22">
        <f t="shared" si="17"/>
        <v>18000</v>
      </c>
    </row>
    <row r="70" spans="1:7" x14ac:dyDescent="0.2">
      <c r="A70" s="19">
        <v>120000</v>
      </c>
      <c r="B70" s="22">
        <v>120000</v>
      </c>
      <c r="C70" s="22">
        <f t="shared" si="14"/>
        <v>98000</v>
      </c>
      <c r="D70" s="22">
        <f t="shared" si="15"/>
        <v>204000</v>
      </c>
      <c r="E70" s="22">
        <f t="shared" si="16"/>
        <v>106000</v>
      </c>
      <c r="F70" s="22">
        <v>0.15</v>
      </c>
      <c r="G70" s="22">
        <f t="shared" si="17"/>
        <v>15900</v>
      </c>
    </row>
    <row r="71" spans="1:7" x14ac:dyDescent="0.2">
      <c r="A71" s="19">
        <v>140000</v>
      </c>
      <c r="B71" s="22">
        <v>140000</v>
      </c>
      <c r="C71" s="22">
        <f t="shared" si="14"/>
        <v>98000</v>
      </c>
      <c r="D71" s="22">
        <f t="shared" si="15"/>
        <v>238000</v>
      </c>
      <c r="E71" s="22">
        <f t="shared" si="16"/>
        <v>140000</v>
      </c>
      <c r="F71" s="22">
        <v>0.05</v>
      </c>
      <c r="G71" s="22">
        <f t="shared" si="17"/>
        <v>7000</v>
      </c>
    </row>
    <row r="72" spans="1:7" x14ac:dyDescent="0.2">
      <c r="A72" s="48"/>
      <c r="B72" s="49"/>
      <c r="C72" s="49"/>
      <c r="D72" s="49"/>
      <c r="E72" s="54"/>
      <c r="F72" s="21" t="s">
        <v>19</v>
      </c>
      <c r="G72" s="24">
        <f>SUM(G66:G71)</f>
        <v>46500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40000</v>
      </c>
      <c r="C78" s="22">
        <v>2</v>
      </c>
    </row>
    <row r="79" spans="1:7" x14ac:dyDescent="0.2">
      <c r="A79" s="19">
        <v>60000</v>
      </c>
      <c r="B79" s="24">
        <v>54900</v>
      </c>
      <c r="C79" s="22">
        <v>3</v>
      </c>
    </row>
    <row r="80" spans="1:7" x14ac:dyDescent="0.2">
      <c r="A80" s="31">
        <v>80000</v>
      </c>
      <c r="B80" s="24">
        <v>64700</v>
      </c>
      <c r="C80" s="32">
        <v>4</v>
      </c>
    </row>
    <row r="81" spans="1:3" x14ac:dyDescent="0.2">
      <c r="A81" s="19">
        <v>100000</v>
      </c>
      <c r="B81" s="28">
        <v>66000</v>
      </c>
      <c r="C81" s="28">
        <v>5</v>
      </c>
    </row>
    <row r="82" spans="1:3" x14ac:dyDescent="0.2">
      <c r="A82" s="19">
        <v>120000</v>
      </c>
      <c r="B82" s="24">
        <v>58800</v>
      </c>
      <c r="C82" s="22">
        <v>6</v>
      </c>
    </row>
    <row r="83" spans="1:3" x14ac:dyDescent="0.2">
      <c r="A83" s="19">
        <v>140000</v>
      </c>
      <c r="B83" s="24">
        <v>46500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3"/>
  <sheetViews>
    <sheetView workbookViewId="0">
      <selection activeCell="B89" sqref="B89"/>
    </sheetView>
  </sheetViews>
  <sheetFormatPr baseColWidth="10" defaultColWidth="8.83203125" defaultRowHeight="15" x14ac:dyDescent="0.2"/>
  <cols>
    <col min="1" max="1" width="35.33203125" customWidth="1"/>
    <col min="2" max="2" width="29.83203125" customWidth="1"/>
    <col min="3" max="3" width="14.1640625" customWidth="1"/>
    <col min="4" max="4" width="26" customWidth="1"/>
    <col min="5" max="5" width="12.33203125" customWidth="1"/>
    <col min="7" max="7" width="18" customWidth="1"/>
  </cols>
  <sheetData>
    <row r="1" spans="1:7" ht="16" x14ac:dyDescent="0.2">
      <c r="A1" s="11" t="s">
        <v>0</v>
      </c>
      <c r="B1" s="12" t="s">
        <v>1</v>
      </c>
    </row>
    <row r="2" spans="1:7" ht="16" x14ac:dyDescent="0.2">
      <c r="A2" s="13" t="s">
        <v>2</v>
      </c>
      <c r="B2" s="14">
        <v>1.7</v>
      </c>
    </row>
    <row r="3" spans="1:7" ht="16" x14ac:dyDescent="0.2">
      <c r="A3" s="13" t="s">
        <v>3</v>
      </c>
      <c r="B3" s="14">
        <v>18000</v>
      </c>
    </row>
    <row r="4" spans="1:7" ht="16" x14ac:dyDescent="0.2">
      <c r="A4" s="13" t="s">
        <v>4</v>
      </c>
      <c r="B4" s="14">
        <v>20000</v>
      </c>
    </row>
    <row r="5" spans="1:7" ht="16" x14ac:dyDescent="0.2">
      <c r="A5" s="13" t="s">
        <v>5</v>
      </c>
      <c r="B5" s="14" t="s">
        <v>6</v>
      </c>
    </row>
    <row r="6" spans="1:7" ht="16" x14ac:dyDescent="0.2">
      <c r="A6" s="13" t="s">
        <v>7</v>
      </c>
      <c r="B6" s="14" t="s">
        <v>8</v>
      </c>
    </row>
    <row r="7" spans="1:7" ht="16" x14ac:dyDescent="0.2">
      <c r="A7" s="13" t="s">
        <v>9</v>
      </c>
      <c r="B7" s="14" t="s">
        <v>10</v>
      </c>
    </row>
    <row r="8" spans="1:7" x14ac:dyDescent="0.2">
      <c r="A8" s="1"/>
      <c r="B8" s="1"/>
      <c r="C8" s="1"/>
    </row>
    <row r="14" spans="1:7" x14ac:dyDescent="0.2">
      <c r="A14" s="51" t="s">
        <v>16</v>
      </c>
      <c r="B14" s="52"/>
      <c r="C14" s="52"/>
      <c r="D14" s="52"/>
      <c r="E14" s="52"/>
      <c r="F14" s="52"/>
      <c r="G14" s="53"/>
    </row>
    <row r="15" spans="1:7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7" x14ac:dyDescent="0.2">
      <c r="A16" s="19">
        <v>40000</v>
      </c>
      <c r="B16" s="22">
        <v>40000</v>
      </c>
      <c r="C16" s="22">
        <f>2*18000</f>
        <v>36000</v>
      </c>
      <c r="D16" s="22">
        <f>MIN(A16,A16)*1.7</f>
        <v>68000</v>
      </c>
      <c r="E16" s="22">
        <f>D16-C16</f>
        <v>32000</v>
      </c>
      <c r="F16" s="22">
        <v>0.15</v>
      </c>
      <c r="G16" s="22">
        <f>SUMPRODUCT(F16,E16)</f>
        <v>4800</v>
      </c>
    </row>
    <row r="17" spans="1:7" x14ac:dyDescent="0.2">
      <c r="A17" s="19">
        <v>60000</v>
      </c>
      <c r="B17" s="22">
        <v>40000</v>
      </c>
      <c r="C17" s="22">
        <f t="shared" ref="C17:C21" si="0">2*18000</f>
        <v>36000</v>
      </c>
      <c r="D17" s="22">
        <v>68000</v>
      </c>
      <c r="E17" s="22">
        <f t="shared" ref="E17:E21" si="1">D17-C17</f>
        <v>32000</v>
      </c>
      <c r="F17" s="22">
        <v>0.15</v>
      </c>
      <c r="G17" s="22">
        <f t="shared" ref="G17:G21" si="2">SUMPRODUCT(F17,E17)</f>
        <v>4800</v>
      </c>
    </row>
    <row r="18" spans="1:7" x14ac:dyDescent="0.2">
      <c r="A18" s="19">
        <v>80000</v>
      </c>
      <c r="B18" s="22">
        <v>40000</v>
      </c>
      <c r="C18" s="22">
        <f t="shared" si="0"/>
        <v>36000</v>
      </c>
      <c r="D18" s="22">
        <v>68000</v>
      </c>
      <c r="E18" s="22">
        <f t="shared" si="1"/>
        <v>32000</v>
      </c>
      <c r="F18" s="22">
        <v>0.25</v>
      </c>
      <c r="G18" s="22">
        <f t="shared" si="2"/>
        <v>8000</v>
      </c>
    </row>
    <row r="19" spans="1:7" x14ac:dyDescent="0.2">
      <c r="A19" s="19">
        <v>100000</v>
      </c>
      <c r="B19" s="22">
        <v>40000</v>
      </c>
      <c r="C19" s="22">
        <f t="shared" si="0"/>
        <v>36000</v>
      </c>
      <c r="D19" s="22">
        <v>68000</v>
      </c>
      <c r="E19" s="22">
        <f t="shared" si="1"/>
        <v>32000</v>
      </c>
      <c r="F19" s="22">
        <v>0.25</v>
      </c>
      <c r="G19" s="22">
        <f t="shared" si="2"/>
        <v>8000</v>
      </c>
    </row>
    <row r="20" spans="1:7" x14ac:dyDescent="0.2">
      <c r="A20" s="19">
        <v>120000</v>
      </c>
      <c r="B20" s="22">
        <v>40000</v>
      </c>
      <c r="C20" s="22">
        <f t="shared" si="0"/>
        <v>36000</v>
      </c>
      <c r="D20" s="22">
        <v>68000</v>
      </c>
      <c r="E20" s="22">
        <f t="shared" si="1"/>
        <v>32000</v>
      </c>
      <c r="F20" s="22">
        <v>0.15</v>
      </c>
      <c r="G20" s="22">
        <f t="shared" si="2"/>
        <v>4800</v>
      </c>
    </row>
    <row r="21" spans="1:7" x14ac:dyDescent="0.2">
      <c r="A21" s="19">
        <v>140000</v>
      </c>
      <c r="B21" s="22">
        <v>40000</v>
      </c>
      <c r="C21" s="22">
        <f t="shared" si="0"/>
        <v>36000</v>
      </c>
      <c r="D21" s="22">
        <v>68000</v>
      </c>
      <c r="E21" s="22">
        <f t="shared" si="1"/>
        <v>32000</v>
      </c>
      <c r="F21" s="22">
        <v>0.05</v>
      </c>
      <c r="G21" s="22">
        <f t="shared" si="2"/>
        <v>1600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32000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3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3*18000</f>
        <v>54000</v>
      </c>
      <c r="D26" s="22">
        <f>MIN(A26,A26)*1.7</f>
        <v>68000</v>
      </c>
      <c r="E26" s="22">
        <f>D26-C26</f>
        <v>14000</v>
      </c>
      <c r="F26" s="22">
        <v>0.15</v>
      </c>
      <c r="G26" s="22">
        <f>SUMPRODUCT(F26,E26)</f>
        <v>2100</v>
      </c>
    </row>
    <row r="27" spans="1:7" x14ac:dyDescent="0.2">
      <c r="A27" s="19">
        <v>60000</v>
      </c>
      <c r="B27" s="22">
        <v>60000</v>
      </c>
      <c r="C27" s="22">
        <f t="shared" ref="C27:C31" si="3">3*18000</f>
        <v>54000</v>
      </c>
      <c r="D27" s="22">
        <f>MIN(A27,A27)*1.7</f>
        <v>102000</v>
      </c>
      <c r="E27" s="22">
        <f t="shared" ref="E27:E31" si="4">D27-C27</f>
        <v>48000</v>
      </c>
      <c r="F27" s="22">
        <v>0.15</v>
      </c>
      <c r="G27" s="22">
        <f t="shared" ref="G27:G31" si="5">SUMPRODUCT(F27,E27)</f>
        <v>7200</v>
      </c>
    </row>
    <row r="28" spans="1:7" x14ac:dyDescent="0.2">
      <c r="A28" s="19">
        <v>80000</v>
      </c>
      <c r="B28" s="22">
        <v>60000</v>
      </c>
      <c r="C28" s="22">
        <f t="shared" si="3"/>
        <v>54000</v>
      </c>
      <c r="D28" s="22">
        <v>102000</v>
      </c>
      <c r="E28" s="22">
        <f t="shared" si="4"/>
        <v>48000</v>
      </c>
      <c r="F28" s="22">
        <v>0.25</v>
      </c>
      <c r="G28" s="22">
        <f t="shared" si="5"/>
        <v>12000</v>
      </c>
    </row>
    <row r="29" spans="1:7" x14ac:dyDescent="0.2">
      <c r="A29" s="19">
        <v>100000</v>
      </c>
      <c r="B29" s="22">
        <v>60000</v>
      </c>
      <c r="C29" s="22">
        <f t="shared" si="3"/>
        <v>54000</v>
      </c>
      <c r="D29" s="22">
        <v>102000</v>
      </c>
      <c r="E29" s="22">
        <f t="shared" si="4"/>
        <v>48000</v>
      </c>
      <c r="F29" s="22">
        <v>0.25</v>
      </c>
      <c r="G29" s="22">
        <f t="shared" si="5"/>
        <v>12000</v>
      </c>
    </row>
    <row r="30" spans="1:7" x14ac:dyDescent="0.2">
      <c r="A30" s="19">
        <v>120000</v>
      </c>
      <c r="B30" s="22">
        <v>60000</v>
      </c>
      <c r="C30" s="22">
        <f t="shared" si="3"/>
        <v>54000</v>
      </c>
      <c r="D30" s="22">
        <v>102000</v>
      </c>
      <c r="E30" s="22">
        <f t="shared" si="4"/>
        <v>48000</v>
      </c>
      <c r="F30" s="22">
        <v>0.15</v>
      </c>
      <c r="G30" s="22">
        <f t="shared" si="5"/>
        <v>7200</v>
      </c>
    </row>
    <row r="31" spans="1:7" x14ac:dyDescent="0.2">
      <c r="A31" s="19">
        <v>140000</v>
      </c>
      <c r="B31" s="22">
        <v>60000</v>
      </c>
      <c r="C31" s="22">
        <f t="shared" si="3"/>
        <v>54000</v>
      </c>
      <c r="D31" s="22">
        <v>102000</v>
      </c>
      <c r="E31" s="22">
        <f t="shared" si="4"/>
        <v>48000</v>
      </c>
      <c r="F31" s="22">
        <v>0.05</v>
      </c>
      <c r="G31" s="22">
        <f t="shared" si="5"/>
        <v>2400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42900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3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4*18000</f>
        <v>72000</v>
      </c>
      <c r="D36" s="22">
        <f>MIN(A36,A36)*1.7</f>
        <v>68000</v>
      </c>
      <c r="E36" s="22">
        <f>D36-C36</f>
        <v>-4000</v>
      </c>
      <c r="F36" s="22">
        <v>0.15</v>
      </c>
      <c r="G36" s="22">
        <f>SUMPRODUCT(F36,E36)</f>
        <v>-600</v>
      </c>
    </row>
    <row r="37" spans="1:7" x14ac:dyDescent="0.2">
      <c r="A37" s="19">
        <v>60000</v>
      </c>
      <c r="B37" s="22">
        <v>60000</v>
      </c>
      <c r="C37" s="22">
        <f t="shared" ref="C37:C41" si="6">4*18000</f>
        <v>72000</v>
      </c>
      <c r="D37" s="22">
        <f>MIN(A37,A37)*1.7</f>
        <v>102000</v>
      </c>
      <c r="E37" s="22">
        <f t="shared" ref="E37:E41" si="7">D37-C37</f>
        <v>30000</v>
      </c>
      <c r="F37" s="22">
        <v>0.15</v>
      </c>
      <c r="G37" s="22">
        <f t="shared" ref="G37:G41" si="8">SUMPRODUCT(F37,E37)</f>
        <v>4500</v>
      </c>
    </row>
    <row r="38" spans="1:7" x14ac:dyDescent="0.2">
      <c r="A38" s="19">
        <v>80000</v>
      </c>
      <c r="B38" s="22">
        <v>80000</v>
      </c>
      <c r="C38" s="22">
        <f t="shared" si="6"/>
        <v>72000</v>
      </c>
      <c r="D38" s="22">
        <f>MIN(A38,A38)*1.7</f>
        <v>136000</v>
      </c>
      <c r="E38" s="22">
        <f t="shared" si="7"/>
        <v>64000</v>
      </c>
      <c r="F38" s="22">
        <v>0.25</v>
      </c>
      <c r="G38" s="22">
        <f t="shared" si="8"/>
        <v>16000</v>
      </c>
    </row>
    <row r="39" spans="1:7" x14ac:dyDescent="0.2">
      <c r="A39" s="19">
        <v>100000</v>
      </c>
      <c r="B39" s="22">
        <v>80000</v>
      </c>
      <c r="C39" s="22">
        <f t="shared" si="6"/>
        <v>72000</v>
      </c>
      <c r="D39" s="22">
        <v>136000</v>
      </c>
      <c r="E39" s="22">
        <f t="shared" si="7"/>
        <v>64000</v>
      </c>
      <c r="F39" s="22">
        <v>0.25</v>
      </c>
      <c r="G39" s="22">
        <f t="shared" si="8"/>
        <v>16000</v>
      </c>
    </row>
    <row r="40" spans="1:7" x14ac:dyDescent="0.2">
      <c r="A40" s="19">
        <v>120000</v>
      </c>
      <c r="B40" s="22">
        <v>80000</v>
      </c>
      <c r="C40" s="22">
        <f t="shared" si="6"/>
        <v>72000</v>
      </c>
      <c r="D40" s="22">
        <v>136000</v>
      </c>
      <c r="E40" s="22">
        <f t="shared" si="7"/>
        <v>64000</v>
      </c>
      <c r="F40" s="22">
        <v>0.15</v>
      </c>
      <c r="G40" s="22">
        <f t="shared" si="8"/>
        <v>9600</v>
      </c>
    </row>
    <row r="41" spans="1:7" x14ac:dyDescent="0.2">
      <c r="A41" s="19">
        <v>140000</v>
      </c>
      <c r="B41" s="22">
        <v>80000</v>
      </c>
      <c r="C41" s="22">
        <f t="shared" si="6"/>
        <v>72000</v>
      </c>
      <c r="D41" s="22">
        <v>136000</v>
      </c>
      <c r="E41" s="22">
        <f t="shared" si="7"/>
        <v>64000</v>
      </c>
      <c r="F41" s="22">
        <v>0.05</v>
      </c>
      <c r="G41" s="22">
        <f t="shared" si="8"/>
        <v>3200</v>
      </c>
    </row>
    <row r="42" spans="1:7" x14ac:dyDescent="0.2">
      <c r="A42" s="48"/>
      <c r="B42" s="49"/>
      <c r="C42" s="49"/>
      <c r="D42" s="49"/>
      <c r="E42" s="54"/>
      <c r="F42" s="21" t="s">
        <v>19</v>
      </c>
      <c r="G42" s="28">
        <f>SUM(G36:G41)</f>
        <v>48700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3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5*18000</f>
        <v>90000</v>
      </c>
      <c r="D46" s="22">
        <v>68000</v>
      </c>
      <c r="E46" s="22">
        <f>D46-C46</f>
        <v>-22000</v>
      </c>
      <c r="F46" s="22">
        <v>0.15</v>
      </c>
      <c r="G46" s="22">
        <f>SUMPRODUCT(F46,E46)</f>
        <v>-3300</v>
      </c>
    </row>
    <row r="47" spans="1:7" x14ac:dyDescent="0.2">
      <c r="A47" s="19">
        <v>60000</v>
      </c>
      <c r="B47" s="22">
        <v>60000</v>
      </c>
      <c r="C47" s="22">
        <f t="shared" ref="C47:C51" si="9">5*18000</f>
        <v>90000</v>
      </c>
      <c r="D47" s="22">
        <v>102000</v>
      </c>
      <c r="E47" s="22">
        <f t="shared" ref="E47:E51" si="10">D47-C47</f>
        <v>12000</v>
      </c>
      <c r="F47" s="22">
        <v>0.15</v>
      </c>
      <c r="G47" s="22">
        <f t="shared" ref="G47:G51" si="11">SUMPRODUCT(F47,E47)</f>
        <v>1800</v>
      </c>
    </row>
    <row r="48" spans="1:7" x14ac:dyDescent="0.2">
      <c r="A48" s="19">
        <v>80000</v>
      </c>
      <c r="B48" s="22">
        <v>80000</v>
      </c>
      <c r="C48" s="22">
        <f t="shared" si="9"/>
        <v>90000</v>
      </c>
      <c r="D48" s="22">
        <v>136000</v>
      </c>
      <c r="E48" s="22">
        <f t="shared" si="10"/>
        <v>46000</v>
      </c>
      <c r="F48" s="22">
        <v>0.25</v>
      </c>
      <c r="G48" s="22">
        <f t="shared" si="11"/>
        <v>11500</v>
      </c>
    </row>
    <row r="49" spans="1:7" x14ac:dyDescent="0.2">
      <c r="A49" s="19">
        <v>100000</v>
      </c>
      <c r="B49" s="22">
        <v>100000</v>
      </c>
      <c r="C49" s="22">
        <f t="shared" si="9"/>
        <v>90000</v>
      </c>
      <c r="D49" s="22">
        <v>170000</v>
      </c>
      <c r="E49" s="22">
        <f t="shared" si="10"/>
        <v>80000</v>
      </c>
      <c r="F49" s="22">
        <v>0.25</v>
      </c>
      <c r="G49" s="22">
        <f t="shared" si="11"/>
        <v>20000</v>
      </c>
    </row>
    <row r="50" spans="1:7" x14ac:dyDescent="0.2">
      <c r="A50" s="19">
        <v>120000</v>
      </c>
      <c r="B50" s="22">
        <v>100000</v>
      </c>
      <c r="C50" s="22">
        <f t="shared" si="9"/>
        <v>90000</v>
      </c>
      <c r="D50" s="22">
        <v>170000</v>
      </c>
      <c r="E50" s="22">
        <f t="shared" si="10"/>
        <v>80000</v>
      </c>
      <c r="F50" s="22">
        <v>0.15</v>
      </c>
      <c r="G50" s="22">
        <f t="shared" si="11"/>
        <v>12000</v>
      </c>
    </row>
    <row r="51" spans="1:7" x14ac:dyDescent="0.2">
      <c r="A51" s="19">
        <v>140000</v>
      </c>
      <c r="B51" s="22">
        <v>100000</v>
      </c>
      <c r="C51" s="22">
        <f t="shared" si="9"/>
        <v>90000</v>
      </c>
      <c r="D51" s="22">
        <v>170000</v>
      </c>
      <c r="E51" s="22">
        <f t="shared" si="10"/>
        <v>80000</v>
      </c>
      <c r="F51" s="22">
        <v>0.05</v>
      </c>
      <c r="G51" s="22">
        <f t="shared" si="11"/>
        <v>4000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4">
        <f>SUM(G46:G51)</f>
        <v>46000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3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6*18000</f>
        <v>108000</v>
      </c>
      <c r="D56" s="22">
        <v>68000</v>
      </c>
      <c r="E56" s="22">
        <f>D56-C56</f>
        <v>-40000</v>
      </c>
      <c r="F56" s="22">
        <v>0.15</v>
      </c>
      <c r="G56" s="22">
        <f>SUMPRODUCT(F56,E56)</f>
        <v>-6000</v>
      </c>
    </row>
    <row r="57" spans="1:7" x14ac:dyDescent="0.2">
      <c r="A57" s="19">
        <v>60000</v>
      </c>
      <c r="B57" s="22">
        <v>60000</v>
      </c>
      <c r="C57" s="22">
        <f t="shared" ref="C57:C61" si="12">6*18000</f>
        <v>108000</v>
      </c>
      <c r="D57" s="22">
        <v>102000</v>
      </c>
      <c r="E57" s="22">
        <f t="shared" ref="E57:E61" si="13">D57-C57</f>
        <v>-6000</v>
      </c>
      <c r="F57" s="22">
        <v>0.15</v>
      </c>
      <c r="G57" s="22">
        <f t="shared" ref="G57:G61" si="14">SUMPRODUCT(F57,E57)</f>
        <v>-900</v>
      </c>
    </row>
    <row r="58" spans="1:7" x14ac:dyDescent="0.2">
      <c r="A58" s="19">
        <v>80000</v>
      </c>
      <c r="B58" s="22">
        <v>80000</v>
      </c>
      <c r="C58" s="22">
        <f t="shared" si="12"/>
        <v>108000</v>
      </c>
      <c r="D58" s="22">
        <v>136000</v>
      </c>
      <c r="E58" s="22">
        <f t="shared" si="13"/>
        <v>28000</v>
      </c>
      <c r="F58" s="22">
        <v>0.25</v>
      </c>
      <c r="G58" s="22">
        <f t="shared" si="14"/>
        <v>7000</v>
      </c>
    </row>
    <row r="59" spans="1:7" x14ac:dyDescent="0.2">
      <c r="A59" s="19">
        <v>100000</v>
      </c>
      <c r="B59" s="22">
        <v>100000</v>
      </c>
      <c r="C59" s="22">
        <f t="shared" si="12"/>
        <v>108000</v>
      </c>
      <c r="D59" s="22">
        <v>170000</v>
      </c>
      <c r="E59" s="22">
        <f t="shared" si="13"/>
        <v>62000</v>
      </c>
      <c r="F59" s="22">
        <v>0.25</v>
      </c>
      <c r="G59" s="22">
        <f t="shared" si="14"/>
        <v>15500</v>
      </c>
    </row>
    <row r="60" spans="1:7" x14ac:dyDescent="0.2">
      <c r="A60" s="19">
        <v>120000</v>
      </c>
      <c r="B60" s="22">
        <v>120000</v>
      </c>
      <c r="C60" s="22">
        <f t="shared" si="12"/>
        <v>108000</v>
      </c>
      <c r="D60" s="22">
        <v>204000</v>
      </c>
      <c r="E60" s="22">
        <f t="shared" si="13"/>
        <v>96000</v>
      </c>
      <c r="F60" s="22">
        <v>0.15</v>
      </c>
      <c r="G60" s="22">
        <f t="shared" si="14"/>
        <v>14400</v>
      </c>
    </row>
    <row r="61" spans="1:7" x14ac:dyDescent="0.2">
      <c r="A61" s="19">
        <v>140000</v>
      </c>
      <c r="B61" s="22">
        <v>120000</v>
      </c>
      <c r="C61" s="22">
        <f t="shared" si="12"/>
        <v>108000</v>
      </c>
      <c r="D61" s="22">
        <v>204000</v>
      </c>
      <c r="E61" s="22">
        <f t="shared" si="13"/>
        <v>96000</v>
      </c>
      <c r="F61" s="22">
        <v>0.05</v>
      </c>
      <c r="G61" s="22">
        <f t="shared" si="14"/>
        <v>4800</v>
      </c>
    </row>
    <row r="62" spans="1:7" x14ac:dyDescent="0.2">
      <c r="A62" s="48"/>
      <c r="B62" s="49"/>
      <c r="C62" s="49"/>
      <c r="D62" s="49"/>
      <c r="E62" s="54"/>
      <c r="F62" s="21" t="s">
        <v>19</v>
      </c>
      <c r="G62" s="24">
        <f>SUM(G56:G61)</f>
        <v>34800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3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7*18000</f>
        <v>126000</v>
      </c>
      <c r="D66" s="22">
        <v>68000</v>
      </c>
      <c r="E66" s="22">
        <f>D66-C66</f>
        <v>-58000</v>
      </c>
      <c r="F66" s="22">
        <v>0.15</v>
      </c>
      <c r="G66" s="22">
        <f>SUMPRODUCT(F66,E66)</f>
        <v>-8700</v>
      </c>
    </row>
    <row r="67" spans="1:7" x14ac:dyDescent="0.2">
      <c r="A67" s="19">
        <v>60000</v>
      </c>
      <c r="B67" s="22">
        <v>60000</v>
      </c>
      <c r="C67" s="22">
        <f t="shared" ref="C67:C71" si="15">7*18000</f>
        <v>126000</v>
      </c>
      <c r="D67" s="22">
        <v>102000</v>
      </c>
      <c r="E67" s="22">
        <f t="shared" ref="E67:E71" si="16">D67-C67</f>
        <v>-24000</v>
      </c>
      <c r="F67" s="22">
        <v>0.15</v>
      </c>
      <c r="G67" s="22">
        <f t="shared" ref="G67:G71" si="17">SUMPRODUCT(F67,E67)</f>
        <v>-3600</v>
      </c>
    </row>
    <row r="68" spans="1:7" x14ac:dyDescent="0.2">
      <c r="A68" s="19">
        <v>80000</v>
      </c>
      <c r="B68" s="22">
        <v>80000</v>
      </c>
      <c r="C68" s="22">
        <f t="shared" si="15"/>
        <v>126000</v>
      </c>
      <c r="D68" s="22">
        <v>136000</v>
      </c>
      <c r="E68" s="22">
        <f t="shared" si="16"/>
        <v>10000</v>
      </c>
      <c r="F68" s="22">
        <v>0.25</v>
      </c>
      <c r="G68" s="22">
        <f t="shared" si="17"/>
        <v>2500</v>
      </c>
    </row>
    <row r="69" spans="1:7" x14ac:dyDescent="0.2">
      <c r="A69" s="19">
        <v>100000</v>
      </c>
      <c r="B69" s="22">
        <v>100000</v>
      </c>
      <c r="C69" s="22">
        <f t="shared" si="15"/>
        <v>126000</v>
      </c>
      <c r="D69" s="22">
        <v>170000</v>
      </c>
      <c r="E69" s="22">
        <f t="shared" si="16"/>
        <v>44000</v>
      </c>
      <c r="F69" s="22">
        <v>0.25</v>
      </c>
      <c r="G69" s="22">
        <f t="shared" si="17"/>
        <v>11000</v>
      </c>
    </row>
    <row r="70" spans="1:7" x14ac:dyDescent="0.2">
      <c r="A70" s="19">
        <v>120000</v>
      </c>
      <c r="B70" s="22">
        <v>120000</v>
      </c>
      <c r="C70" s="22">
        <f t="shared" si="15"/>
        <v>126000</v>
      </c>
      <c r="D70" s="22">
        <v>204000</v>
      </c>
      <c r="E70" s="22">
        <f t="shared" si="16"/>
        <v>78000</v>
      </c>
      <c r="F70" s="22">
        <v>0.15</v>
      </c>
      <c r="G70" s="22">
        <f t="shared" si="17"/>
        <v>11700</v>
      </c>
    </row>
    <row r="71" spans="1:7" x14ac:dyDescent="0.2">
      <c r="A71" s="19">
        <v>140000</v>
      </c>
      <c r="B71" s="22">
        <v>140000</v>
      </c>
      <c r="C71" s="22">
        <f t="shared" si="15"/>
        <v>126000</v>
      </c>
      <c r="D71" s="22">
        <v>238000</v>
      </c>
      <c r="E71" s="22">
        <f t="shared" si="16"/>
        <v>112000</v>
      </c>
      <c r="F71" s="22">
        <v>0.05</v>
      </c>
      <c r="G71" s="22">
        <f t="shared" si="17"/>
        <v>5600</v>
      </c>
    </row>
    <row r="72" spans="1:7" x14ac:dyDescent="0.2">
      <c r="A72" s="48"/>
      <c r="B72" s="49"/>
      <c r="C72" s="49"/>
      <c r="D72" s="49"/>
      <c r="E72" s="54"/>
      <c r="F72" s="21" t="s">
        <v>19</v>
      </c>
      <c r="G72" s="24">
        <f>SUM(G66:G71)</f>
        <v>18500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32000</v>
      </c>
      <c r="C78" s="22">
        <v>2</v>
      </c>
    </row>
    <row r="79" spans="1:7" x14ac:dyDescent="0.2">
      <c r="A79" s="19">
        <v>60000</v>
      </c>
      <c r="B79" s="24">
        <v>42900</v>
      </c>
      <c r="C79" s="22">
        <v>3</v>
      </c>
    </row>
    <row r="80" spans="1:7" x14ac:dyDescent="0.2">
      <c r="A80" s="29">
        <v>80000</v>
      </c>
      <c r="B80" s="25">
        <v>48700</v>
      </c>
      <c r="C80" s="30">
        <v>4</v>
      </c>
    </row>
    <row r="81" spans="1:3" x14ac:dyDescent="0.2">
      <c r="A81" s="19">
        <v>100000</v>
      </c>
      <c r="B81" s="24">
        <v>46000</v>
      </c>
      <c r="C81" s="22">
        <v>5</v>
      </c>
    </row>
    <row r="82" spans="1:3" x14ac:dyDescent="0.2">
      <c r="A82" s="19">
        <v>120000</v>
      </c>
      <c r="B82" s="24">
        <v>34800</v>
      </c>
      <c r="C82" s="22">
        <v>6</v>
      </c>
    </row>
    <row r="83" spans="1:3" x14ac:dyDescent="0.2">
      <c r="A83" s="19">
        <v>140000</v>
      </c>
      <c r="B83" s="24">
        <v>18500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9347-DA19-AE45-8D21-51C0978CABB7}">
  <dimension ref="A1:G83"/>
  <sheetViews>
    <sheetView workbookViewId="0">
      <selection activeCell="I26" sqref="I26"/>
    </sheetView>
  </sheetViews>
  <sheetFormatPr baseColWidth="10" defaultRowHeight="15" x14ac:dyDescent="0.2"/>
  <cols>
    <col min="1" max="1" width="30" customWidth="1"/>
    <col min="2" max="2" width="25.1640625" customWidth="1"/>
    <col min="4" max="4" width="16.5" customWidth="1"/>
    <col min="7" max="7" width="19.6640625" customWidth="1"/>
  </cols>
  <sheetData>
    <row r="1" spans="1:7" ht="16" x14ac:dyDescent="0.2">
      <c r="A1" s="11" t="s">
        <v>0</v>
      </c>
      <c r="B1" s="12" t="s">
        <v>1</v>
      </c>
    </row>
    <row r="2" spans="1:7" ht="16" x14ac:dyDescent="0.2">
      <c r="A2" s="13" t="s">
        <v>2</v>
      </c>
      <c r="B2" s="14">
        <v>1.9</v>
      </c>
    </row>
    <row r="3" spans="1:7" ht="16" x14ac:dyDescent="0.2">
      <c r="A3" s="13" t="s">
        <v>3</v>
      </c>
      <c r="B3" s="14">
        <v>14000</v>
      </c>
    </row>
    <row r="4" spans="1:7" ht="16" x14ac:dyDescent="0.2">
      <c r="A4" s="13" t="s">
        <v>4</v>
      </c>
      <c r="B4" s="14">
        <v>20000</v>
      </c>
    </row>
    <row r="5" spans="1:7" ht="16" x14ac:dyDescent="0.2">
      <c r="A5" s="13" t="s">
        <v>5</v>
      </c>
      <c r="B5" s="14" t="s">
        <v>6</v>
      </c>
    </row>
    <row r="6" spans="1:7" ht="16" x14ac:dyDescent="0.2">
      <c r="A6" s="13" t="s">
        <v>7</v>
      </c>
      <c r="B6" s="14" t="s">
        <v>8</v>
      </c>
    </row>
    <row r="7" spans="1:7" ht="16" x14ac:dyDescent="0.2">
      <c r="A7" s="13" t="s">
        <v>9</v>
      </c>
      <c r="B7" s="14" t="s">
        <v>10</v>
      </c>
    </row>
    <row r="14" spans="1:7" x14ac:dyDescent="0.2">
      <c r="A14" s="51" t="s">
        <v>16</v>
      </c>
      <c r="B14" s="52"/>
      <c r="C14" s="52"/>
      <c r="D14" s="52"/>
      <c r="E14" s="52"/>
      <c r="F14" s="52"/>
      <c r="G14" s="53"/>
    </row>
    <row r="15" spans="1:7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7" x14ac:dyDescent="0.2">
      <c r="A16" s="19">
        <v>40000</v>
      </c>
      <c r="B16" s="22">
        <v>40000</v>
      </c>
      <c r="C16" s="22">
        <f>2*14000</f>
        <v>28000</v>
      </c>
      <c r="D16" s="22">
        <f>MIN(A16,A16)*1.9</f>
        <v>76000</v>
      </c>
      <c r="E16" s="22">
        <f>D16-C16</f>
        <v>48000</v>
      </c>
      <c r="F16" s="22">
        <v>0.15</v>
      </c>
      <c r="G16" s="22">
        <f>SUMPRODUCT(F16,E16)</f>
        <v>7200</v>
      </c>
    </row>
    <row r="17" spans="1:7" x14ac:dyDescent="0.2">
      <c r="A17" s="19">
        <v>60000</v>
      </c>
      <c r="B17" s="22">
        <v>40000</v>
      </c>
      <c r="C17" s="22">
        <f t="shared" ref="C17:C21" si="0">2*14000</f>
        <v>28000</v>
      </c>
      <c r="D17" s="22">
        <v>76000</v>
      </c>
      <c r="E17" s="22">
        <f>D17-C17</f>
        <v>48000</v>
      </c>
      <c r="F17" s="22">
        <v>0.15</v>
      </c>
      <c r="G17" s="22">
        <f t="shared" ref="G17:G21" si="1">SUMPRODUCT(F17,E17)</f>
        <v>7200</v>
      </c>
    </row>
    <row r="18" spans="1:7" x14ac:dyDescent="0.2">
      <c r="A18" s="19">
        <v>80000</v>
      </c>
      <c r="B18" s="22">
        <v>40000</v>
      </c>
      <c r="C18" s="22">
        <f t="shared" si="0"/>
        <v>28000</v>
      </c>
      <c r="D18" s="22">
        <v>76000</v>
      </c>
      <c r="E18" s="22">
        <f t="shared" ref="E18:E21" si="2">D18-C18</f>
        <v>48000</v>
      </c>
      <c r="F18" s="22">
        <v>0.25</v>
      </c>
      <c r="G18" s="22">
        <f t="shared" si="1"/>
        <v>12000</v>
      </c>
    </row>
    <row r="19" spans="1:7" x14ac:dyDescent="0.2">
      <c r="A19" s="19">
        <v>100000</v>
      </c>
      <c r="B19" s="22">
        <v>40000</v>
      </c>
      <c r="C19" s="22">
        <f t="shared" si="0"/>
        <v>28000</v>
      </c>
      <c r="D19" s="22">
        <v>76000</v>
      </c>
      <c r="E19" s="22">
        <f t="shared" si="2"/>
        <v>48000</v>
      </c>
      <c r="F19" s="22">
        <v>0.25</v>
      </c>
      <c r="G19" s="22">
        <f t="shared" si="1"/>
        <v>12000</v>
      </c>
    </row>
    <row r="20" spans="1:7" x14ac:dyDescent="0.2">
      <c r="A20" s="19">
        <v>120000</v>
      </c>
      <c r="B20" s="22">
        <v>40000</v>
      </c>
      <c r="C20" s="22">
        <f t="shared" si="0"/>
        <v>28000</v>
      </c>
      <c r="D20" s="22">
        <v>76000</v>
      </c>
      <c r="E20" s="22">
        <f t="shared" si="2"/>
        <v>48000</v>
      </c>
      <c r="F20" s="22">
        <v>0.15</v>
      </c>
      <c r="G20" s="22">
        <f t="shared" si="1"/>
        <v>7200</v>
      </c>
    </row>
    <row r="21" spans="1:7" x14ac:dyDescent="0.2">
      <c r="A21" s="19">
        <v>140000</v>
      </c>
      <c r="B21" s="22">
        <v>40000</v>
      </c>
      <c r="C21" s="22">
        <f t="shared" si="0"/>
        <v>28000</v>
      </c>
      <c r="D21" s="22">
        <v>76000</v>
      </c>
      <c r="E21" s="22">
        <f t="shared" si="2"/>
        <v>48000</v>
      </c>
      <c r="F21" s="22">
        <v>0.05</v>
      </c>
      <c r="G21" s="22">
        <f t="shared" si="1"/>
        <v>2400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48000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3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3*14000</f>
        <v>42000</v>
      </c>
      <c r="D26" s="22">
        <f>MIN(A26,A26)*1.9</f>
        <v>76000</v>
      </c>
      <c r="E26" s="22">
        <f>D26-C26</f>
        <v>34000</v>
      </c>
      <c r="F26" s="22">
        <v>0.15</v>
      </c>
      <c r="G26" s="22">
        <f>SUMPRODUCT(F26,E26)</f>
        <v>5100</v>
      </c>
    </row>
    <row r="27" spans="1:7" x14ac:dyDescent="0.2">
      <c r="A27" s="19">
        <v>60000</v>
      </c>
      <c r="B27" s="22">
        <v>60000</v>
      </c>
      <c r="C27" s="22">
        <f t="shared" ref="C27:C31" si="3">3*14000</f>
        <v>42000</v>
      </c>
      <c r="D27" s="22">
        <f>MIN(A27,A27)*1.9</f>
        <v>114000</v>
      </c>
      <c r="E27" s="22">
        <f t="shared" ref="E27:E31" si="4">D27-C27</f>
        <v>72000</v>
      </c>
      <c r="F27" s="22">
        <v>0.15</v>
      </c>
      <c r="G27" s="22">
        <f t="shared" ref="G27:G31" si="5">SUMPRODUCT(F27,E27)</f>
        <v>10800</v>
      </c>
    </row>
    <row r="28" spans="1:7" x14ac:dyDescent="0.2">
      <c r="A28" s="19">
        <v>80000</v>
      </c>
      <c r="B28" s="22">
        <v>60000</v>
      </c>
      <c r="C28" s="22">
        <f t="shared" si="3"/>
        <v>42000</v>
      </c>
      <c r="D28" s="22">
        <v>114000</v>
      </c>
      <c r="E28" s="22">
        <f t="shared" si="4"/>
        <v>72000</v>
      </c>
      <c r="F28" s="22">
        <v>0.25</v>
      </c>
      <c r="G28" s="22">
        <f t="shared" si="5"/>
        <v>18000</v>
      </c>
    </row>
    <row r="29" spans="1:7" x14ac:dyDescent="0.2">
      <c r="A29" s="19">
        <v>100000</v>
      </c>
      <c r="B29" s="22">
        <v>60000</v>
      </c>
      <c r="C29" s="22">
        <f t="shared" si="3"/>
        <v>42000</v>
      </c>
      <c r="D29" s="22">
        <v>114000</v>
      </c>
      <c r="E29" s="22">
        <f t="shared" si="4"/>
        <v>72000</v>
      </c>
      <c r="F29" s="22">
        <v>0.25</v>
      </c>
      <c r="G29" s="22">
        <f t="shared" si="5"/>
        <v>18000</v>
      </c>
    </row>
    <row r="30" spans="1:7" x14ac:dyDescent="0.2">
      <c r="A30" s="19">
        <v>120000</v>
      </c>
      <c r="B30" s="22">
        <v>60000</v>
      </c>
      <c r="C30" s="22">
        <f t="shared" si="3"/>
        <v>42000</v>
      </c>
      <c r="D30" s="22">
        <v>114000</v>
      </c>
      <c r="E30" s="22">
        <f t="shared" si="4"/>
        <v>72000</v>
      </c>
      <c r="F30" s="22">
        <v>0.15</v>
      </c>
      <c r="G30" s="22">
        <f t="shared" si="5"/>
        <v>10800</v>
      </c>
    </row>
    <row r="31" spans="1:7" x14ac:dyDescent="0.2">
      <c r="A31" s="19">
        <v>140000</v>
      </c>
      <c r="B31" s="22">
        <v>60000</v>
      </c>
      <c r="C31" s="22">
        <f t="shared" si="3"/>
        <v>42000</v>
      </c>
      <c r="D31" s="22">
        <v>114000</v>
      </c>
      <c r="E31" s="22">
        <f t="shared" si="4"/>
        <v>72000</v>
      </c>
      <c r="F31" s="22">
        <v>0.05</v>
      </c>
      <c r="G31" s="22">
        <f t="shared" si="5"/>
        <v>3600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66300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3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4*14000</f>
        <v>56000</v>
      </c>
      <c r="D36" s="22">
        <v>76000</v>
      </c>
      <c r="E36" s="22">
        <f>D36-C36</f>
        <v>20000</v>
      </c>
      <c r="F36" s="22">
        <v>0.15</v>
      </c>
      <c r="G36" s="22">
        <f>SUMPRODUCT(F36,E36)</f>
        <v>3000</v>
      </c>
    </row>
    <row r="37" spans="1:7" x14ac:dyDescent="0.2">
      <c r="A37" s="19">
        <v>60000</v>
      </c>
      <c r="B37" s="22">
        <v>60000</v>
      </c>
      <c r="C37" s="22">
        <f t="shared" ref="C37:C41" si="6">4*14000</f>
        <v>56000</v>
      </c>
      <c r="D37" s="22">
        <v>114000</v>
      </c>
      <c r="E37" s="22">
        <f t="shared" ref="E37:E41" si="7">D37-C37</f>
        <v>58000</v>
      </c>
      <c r="F37" s="22">
        <v>0.15</v>
      </c>
      <c r="G37" s="22">
        <f t="shared" ref="G37:G41" si="8">SUMPRODUCT(F37,E37)</f>
        <v>8700</v>
      </c>
    </row>
    <row r="38" spans="1:7" x14ac:dyDescent="0.2">
      <c r="A38" s="19">
        <v>80000</v>
      </c>
      <c r="B38" s="22">
        <v>80000</v>
      </c>
      <c r="C38" s="22">
        <f t="shared" si="6"/>
        <v>56000</v>
      </c>
      <c r="D38" s="22">
        <f>MIN(A38,A38)*1.9</f>
        <v>152000</v>
      </c>
      <c r="E38" s="22">
        <f t="shared" si="7"/>
        <v>96000</v>
      </c>
      <c r="F38" s="22">
        <v>0.25</v>
      </c>
      <c r="G38" s="22">
        <f t="shared" si="8"/>
        <v>24000</v>
      </c>
    </row>
    <row r="39" spans="1:7" x14ac:dyDescent="0.2">
      <c r="A39" s="19">
        <v>100000</v>
      </c>
      <c r="B39" s="22">
        <v>80000</v>
      </c>
      <c r="C39" s="22">
        <f t="shared" si="6"/>
        <v>56000</v>
      </c>
      <c r="D39" s="22">
        <v>152000</v>
      </c>
      <c r="E39" s="22">
        <f t="shared" si="7"/>
        <v>96000</v>
      </c>
      <c r="F39" s="22">
        <v>0.25</v>
      </c>
      <c r="G39" s="22">
        <f t="shared" si="8"/>
        <v>24000</v>
      </c>
    </row>
    <row r="40" spans="1:7" x14ac:dyDescent="0.2">
      <c r="A40" s="19">
        <v>120000</v>
      </c>
      <c r="B40" s="22">
        <v>80000</v>
      </c>
      <c r="C40" s="22">
        <f t="shared" si="6"/>
        <v>56000</v>
      </c>
      <c r="D40" s="22">
        <v>152000</v>
      </c>
      <c r="E40" s="22">
        <f t="shared" si="7"/>
        <v>96000</v>
      </c>
      <c r="F40" s="22">
        <v>0.15</v>
      </c>
      <c r="G40" s="22">
        <f t="shared" si="8"/>
        <v>14400</v>
      </c>
    </row>
    <row r="41" spans="1:7" x14ac:dyDescent="0.2">
      <c r="A41" s="19">
        <v>140000</v>
      </c>
      <c r="B41" s="22">
        <v>80000</v>
      </c>
      <c r="C41" s="22">
        <f t="shared" si="6"/>
        <v>56000</v>
      </c>
      <c r="D41" s="22">
        <v>152000</v>
      </c>
      <c r="E41" s="22">
        <f t="shared" si="7"/>
        <v>96000</v>
      </c>
      <c r="F41" s="22">
        <v>0.05</v>
      </c>
      <c r="G41" s="22">
        <f t="shared" si="8"/>
        <v>4800</v>
      </c>
    </row>
    <row r="42" spans="1:7" x14ac:dyDescent="0.2">
      <c r="A42" s="48"/>
      <c r="B42" s="49"/>
      <c r="C42" s="49"/>
      <c r="D42" s="49"/>
      <c r="E42" s="54"/>
      <c r="F42" s="21" t="s">
        <v>19</v>
      </c>
      <c r="G42" s="24">
        <f>SUM(G36:G41)</f>
        <v>78900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3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5*14000</f>
        <v>70000</v>
      </c>
      <c r="D46" s="22">
        <v>76000</v>
      </c>
      <c r="E46" s="22">
        <f>D46-C46</f>
        <v>6000</v>
      </c>
      <c r="F46" s="22">
        <v>0.15</v>
      </c>
      <c r="G46" s="22">
        <f>SUMPRODUCT(F46,E46)</f>
        <v>900</v>
      </c>
    </row>
    <row r="47" spans="1:7" x14ac:dyDescent="0.2">
      <c r="A47" s="19">
        <v>60000</v>
      </c>
      <c r="B47" s="22">
        <v>60000</v>
      </c>
      <c r="C47" s="22">
        <f t="shared" ref="C47:C51" si="9">5*14000</f>
        <v>70000</v>
      </c>
      <c r="D47" s="22">
        <v>114000</v>
      </c>
      <c r="E47" s="22">
        <f t="shared" ref="E47:E51" si="10">D47-C47</f>
        <v>44000</v>
      </c>
      <c r="F47" s="22">
        <v>0.15</v>
      </c>
      <c r="G47" s="22">
        <f t="shared" ref="G47:G51" si="11">SUMPRODUCT(F47,E47)</f>
        <v>6600</v>
      </c>
    </row>
    <row r="48" spans="1:7" x14ac:dyDescent="0.2">
      <c r="A48" s="19">
        <v>80000</v>
      </c>
      <c r="B48" s="22">
        <v>80000</v>
      </c>
      <c r="C48" s="22">
        <f t="shared" si="9"/>
        <v>70000</v>
      </c>
      <c r="D48" s="22">
        <v>152000</v>
      </c>
      <c r="E48" s="22">
        <f t="shared" si="10"/>
        <v>82000</v>
      </c>
      <c r="F48" s="22">
        <v>0.25</v>
      </c>
      <c r="G48" s="22">
        <f t="shared" si="11"/>
        <v>20500</v>
      </c>
    </row>
    <row r="49" spans="1:7" x14ac:dyDescent="0.2">
      <c r="A49" s="19">
        <v>100000</v>
      </c>
      <c r="B49" s="22">
        <v>100000</v>
      </c>
      <c r="C49" s="22">
        <f t="shared" si="9"/>
        <v>70000</v>
      </c>
      <c r="D49" s="22">
        <f>MIN(A49,A49)*1.9</f>
        <v>190000</v>
      </c>
      <c r="E49" s="22">
        <f t="shared" si="10"/>
        <v>120000</v>
      </c>
      <c r="F49" s="22">
        <v>0.25</v>
      </c>
      <c r="G49" s="22">
        <f t="shared" si="11"/>
        <v>30000</v>
      </c>
    </row>
    <row r="50" spans="1:7" x14ac:dyDescent="0.2">
      <c r="A50" s="19">
        <v>120000</v>
      </c>
      <c r="B50" s="22">
        <v>100000</v>
      </c>
      <c r="C50" s="22">
        <f t="shared" si="9"/>
        <v>70000</v>
      </c>
      <c r="D50" s="22">
        <v>190000</v>
      </c>
      <c r="E50" s="22">
        <f t="shared" si="10"/>
        <v>120000</v>
      </c>
      <c r="F50" s="22">
        <v>0.15</v>
      </c>
      <c r="G50" s="22">
        <f t="shared" si="11"/>
        <v>18000</v>
      </c>
    </row>
    <row r="51" spans="1:7" x14ac:dyDescent="0.2">
      <c r="A51" s="19">
        <v>140000</v>
      </c>
      <c r="B51" s="22">
        <v>100000</v>
      </c>
      <c r="C51" s="22">
        <f t="shared" si="9"/>
        <v>70000</v>
      </c>
      <c r="D51" s="22">
        <v>190000</v>
      </c>
      <c r="E51" s="22">
        <f t="shared" si="10"/>
        <v>120000</v>
      </c>
      <c r="F51" s="22">
        <v>0.05</v>
      </c>
      <c r="G51" s="22">
        <f t="shared" si="11"/>
        <v>6000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8">
        <f>SUM(G46:G51)</f>
        <v>82000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3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6*14000</f>
        <v>84000</v>
      </c>
      <c r="D56" s="22">
        <v>76000</v>
      </c>
      <c r="E56" s="22">
        <f>D56-C56</f>
        <v>-8000</v>
      </c>
      <c r="F56" s="22">
        <v>0.15</v>
      </c>
      <c r="G56" s="22">
        <f>SUMPRODUCT(F56,E56)</f>
        <v>-1200</v>
      </c>
    </row>
    <row r="57" spans="1:7" x14ac:dyDescent="0.2">
      <c r="A57" s="19">
        <v>60000</v>
      </c>
      <c r="B57" s="22">
        <v>60000</v>
      </c>
      <c r="C57" s="22">
        <f t="shared" ref="C57:C61" si="12">6*14000</f>
        <v>84000</v>
      </c>
      <c r="D57" s="22">
        <v>114000</v>
      </c>
      <c r="E57" s="22">
        <f t="shared" ref="E57:E61" si="13">D57-C57</f>
        <v>30000</v>
      </c>
      <c r="F57" s="22">
        <v>0.15</v>
      </c>
      <c r="G57" s="22">
        <f t="shared" ref="G57:G61" si="14">SUMPRODUCT(F57,E57)</f>
        <v>4500</v>
      </c>
    </row>
    <row r="58" spans="1:7" x14ac:dyDescent="0.2">
      <c r="A58" s="19">
        <v>80000</v>
      </c>
      <c r="B58" s="22">
        <v>80000</v>
      </c>
      <c r="C58" s="22">
        <f t="shared" si="12"/>
        <v>84000</v>
      </c>
      <c r="D58" s="22">
        <v>152000</v>
      </c>
      <c r="E58" s="22">
        <f t="shared" si="13"/>
        <v>68000</v>
      </c>
      <c r="F58" s="22">
        <v>0.25</v>
      </c>
      <c r="G58" s="22">
        <f t="shared" si="14"/>
        <v>17000</v>
      </c>
    </row>
    <row r="59" spans="1:7" x14ac:dyDescent="0.2">
      <c r="A59" s="19">
        <v>100000</v>
      </c>
      <c r="B59" s="22">
        <v>100000</v>
      </c>
      <c r="C59" s="22">
        <f t="shared" si="12"/>
        <v>84000</v>
      </c>
      <c r="D59" s="22">
        <f>MIN(A59,A59)*1.9</f>
        <v>190000</v>
      </c>
      <c r="E59" s="22">
        <f t="shared" si="13"/>
        <v>106000</v>
      </c>
      <c r="F59" s="22">
        <v>0.25</v>
      </c>
      <c r="G59" s="22">
        <f t="shared" si="14"/>
        <v>26500</v>
      </c>
    </row>
    <row r="60" spans="1:7" x14ac:dyDescent="0.2">
      <c r="A60" s="19">
        <v>120000</v>
      </c>
      <c r="B60" s="22">
        <v>120000</v>
      </c>
      <c r="C60" s="22">
        <f t="shared" si="12"/>
        <v>84000</v>
      </c>
      <c r="D60" s="22">
        <f>MIN(A60,A60)*1.9</f>
        <v>228000</v>
      </c>
      <c r="E60" s="22">
        <f t="shared" si="13"/>
        <v>144000</v>
      </c>
      <c r="F60" s="22">
        <v>0.15</v>
      </c>
      <c r="G60" s="22">
        <f t="shared" si="14"/>
        <v>21600</v>
      </c>
    </row>
    <row r="61" spans="1:7" x14ac:dyDescent="0.2">
      <c r="A61" s="19">
        <v>140000</v>
      </c>
      <c r="B61" s="22">
        <v>120000</v>
      </c>
      <c r="C61" s="22">
        <f t="shared" si="12"/>
        <v>84000</v>
      </c>
      <c r="D61" s="22">
        <v>228000</v>
      </c>
      <c r="E61" s="22">
        <f t="shared" si="13"/>
        <v>144000</v>
      </c>
      <c r="F61" s="22">
        <v>0.05</v>
      </c>
      <c r="G61" s="22">
        <f t="shared" si="14"/>
        <v>7200</v>
      </c>
    </row>
    <row r="62" spans="1:7" x14ac:dyDescent="0.2">
      <c r="A62" s="48"/>
      <c r="B62" s="49"/>
      <c r="C62" s="49"/>
      <c r="D62" s="49"/>
      <c r="E62" s="54"/>
      <c r="F62" s="21" t="s">
        <v>19</v>
      </c>
      <c r="G62" s="24">
        <f>SUM(G56:G61)</f>
        <v>75600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3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7*14000</f>
        <v>98000</v>
      </c>
      <c r="D66" s="22">
        <f>MIN(A66,A66)*1.9</f>
        <v>76000</v>
      </c>
      <c r="E66" s="22">
        <f>D66-C66</f>
        <v>-22000</v>
      </c>
      <c r="F66" s="22">
        <v>0.15</v>
      </c>
      <c r="G66" s="22">
        <f>SUMPRODUCT(F66,E66)</f>
        <v>-3300</v>
      </c>
    </row>
    <row r="67" spans="1:7" x14ac:dyDescent="0.2">
      <c r="A67" s="19">
        <v>60000</v>
      </c>
      <c r="B67" s="22">
        <v>60000</v>
      </c>
      <c r="C67" s="22">
        <f t="shared" ref="C67:C71" si="15">7*14000</f>
        <v>98000</v>
      </c>
      <c r="D67" s="22">
        <f t="shared" ref="D67:D71" si="16">MIN(A67,A67)*1.9</f>
        <v>114000</v>
      </c>
      <c r="E67" s="22">
        <f t="shared" ref="E67:E71" si="17">D67-C67</f>
        <v>16000</v>
      </c>
      <c r="F67" s="22">
        <v>0.15</v>
      </c>
      <c r="G67" s="22">
        <f t="shared" ref="G67:G71" si="18">SUMPRODUCT(F67,E67)</f>
        <v>2400</v>
      </c>
    </row>
    <row r="68" spans="1:7" x14ac:dyDescent="0.2">
      <c r="A68" s="19">
        <v>80000</v>
      </c>
      <c r="B68" s="22">
        <v>80000</v>
      </c>
      <c r="C68" s="22">
        <f t="shared" si="15"/>
        <v>98000</v>
      </c>
      <c r="D68" s="22">
        <f t="shared" si="16"/>
        <v>152000</v>
      </c>
      <c r="E68" s="22">
        <f t="shared" si="17"/>
        <v>54000</v>
      </c>
      <c r="F68" s="22">
        <v>0.25</v>
      </c>
      <c r="G68" s="22">
        <f t="shared" si="18"/>
        <v>13500</v>
      </c>
    </row>
    <row r="69" spans="1:7" x14ac:dyDescent="0.2">
      <c r="A69" s="19">
        <v>100000</v>
      </c>
      <c r="B69" s="22">
        <v>100000</v>
      </c>
      <c r="C69" s="22">
        <f t="shared" si="15"/>
        <v>98000</v>
      </c>
      <c r="D69" s="22">
        <f t="shared" si="16"/>
        <v>190000</v>
      </c>
      <c r="E69" s="22">
        <f t="shared" si="17"/>
        <v>92000</v>
      </c>
      <c r="F69" s="22">
        <v>0.25</v>
      </c>
      <c r="G69" s="22">
        <f t="shared" si="18"/>
        <v>23000</v>
      </c>
    </row>
    <row r="70" spans="1:7" x14ac:dyDescent="0.2">
      <c r="A70" s="19">
        <v>120000</v>
      </c>
      <c r="B70" s="22">
        <v>120000</v>
      </c>
      <c r="C70" s="22">
        <f t="shared" si="15"/>
        <v>98000</v>
      </c>
      <c r="D70" s="22">
        <f t="shared" si="16"/>
        <v>228000</v>
      </c>
      <c r="E70" s="22">
        <f t="shared" si="17"/>
        <v>130000</v>
      </c>
      <c r="F70" s="22">
        <v>0.15</v>
      </c>
      <c r="G70" s="22">
        <f t="shared" si="18"/>
        <v>19500</v>
      </c>
    </row>
    <row r="71" spans="1:7" x14ac:dyDescent="0.2">
      <c r="A71" s="19">
        <v>140000</v>
      </c>
      <c r="B71" s="22">
        <v>140000</v>
      </c>
      <c r="C71" s="22">
        <f t="shared" si="15"/>
        <v>98000</v>
      </c>
      <c r="D71" s="22">
        <f t="shared" si="16"/>
        <v>266000</v>
      </c>
      <c r="E71" s="22">
        <f t="shared" si="17"/>
        <v>168000</v>
      </c>
      <c r="F71" s="22">
        <v>0.05</v>
      </c>
      <c r="G71" s="22">
        <f t="shared" si="18"/>
        <v>8400</v>
      </c>
    </row>
    <row r="72" spans="1:7" x14ac:dyDescent="0.2">
      <c r="A72" s="48"/>
      <c r="B72" s="49"/>
      <c r="C72" s="49"/>
      <c r="D72" s="49"/>
      <c r="E72" s="54"/>
      <c r="F72" s="21" t="s">
        <v>19</v>
      </c>
      <c r="G72" s="24">
        <f>SUM(G66:G71)</f>
        <v>63500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48000</v>
      </c>
      <c r="C78" s="22">
        <v>2</v>
      </c>
    </row>
    <row r="79" spans="1:7" x14ac:dyDescent="0.2">
      <c r="A79" s="19">
        <v>60000</v>
      </c>
      <c r="B79" s="24">
        <v>66300</v>
      </c>
      <c r="C79" s="22">
        <v>3</v>
      </c>
    </row>
    <row r="80" spans="1:7" x14ac:dyDescent="0.2">
      <c r="A80" s="31">
        <v>80000</v>
      </c>
      <c r="B80" s="24">
        <v>78900</v>
      </c>
      <c r="C80" s="32">
        <v>4</v>
      </c>
    </row>
    <row r="81" spans="1:3" x14ac:dyDescent="0.2">
      <c r="A81" s="33">
        <v>100000</v>
      </c>
      <c r="B81" s="25">
        <v>82000</v>
      </c>
      <c r="C81" s="28">
        <v>5</v>
      </c>
    </row>
    <row r="82" spans="1:3" x14ac:dyDescent="0.2">
      <c r="A82" s="19">
        <v>120000</v>
      </c>
      <c r="B82" s="24">
        <v>75600</v>
      </c>
      <c r="C82" s="22">
        <v>6</v>
      </c>
    </row>
    <row r="83" spans="1:3" x14ac:dyDescent="0.2">
      <c r="A83" s="19">
        <v>140000</v>
      </c>
      <c r="B83" s="24">
        <v>63500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6F27-AEBE-1042-AD27-CBF31F575A13}">
  <dimension ref="A1:G83"/>
  <sheetViews>
    <sheetView workbookViewId="0">
      <selection activeCell="D27" sqref="D27"/>
    </sheetView>
  </sheetViews>
  <sheetFormatPr baseColWidth="10" defaultRowHeight="15" x14ac:dyDescent="0.2"/>
  <cols>
    <col min="1" max="1" width="30.83203125" customWidth="1"/>
    <col min="2" max="2" width="26" customWidth="1"/>
    <col min="4" max="4" width="17.33203125" customWidth="1"/>
    <col min="7" max="7" width="18.1640625" customWidth="1"/>
  </cols>
  <sheetData>
    <row r="1" spans="1:7" ht="16" x14ac:dyDescent="0.2">
      <c r="A1" s="11" t="s">
        <v>0</v>
      </c>
      <c r="B1" s="12" t="s">
        <v>1</v>
      </c>
    </row>
    <row r="2" spans="1:7" ht="16" x14ac:dyDescent="0.2">
      <c r="A2" s="13" t="s">
        <v>2</v>
      </c>
      <c r="B2" s="14">
        <v>1.9</v>
      </c>
    </row>
    <row r="3" spans="1:7" ht="16" x14ac:dyDescent="0.2">
      <c r="A3" s="13" t="s">
        <v>3</v>
      </c>
      <c r="B3" s="14">
        <v>16000</v>
      </c>
    </row>
    <row r="4" spans="1:7" ht="16" x14ac:dyDescent="0.2">
      <c r="A4" s="13" t="s">
        <v>4</v>
      </c>
      <c r="B4" s="14">
        <v>20000</v>
      </c>
    </row>
    <row r="5" spans="1:7" ht="16" x14ac:dyDescent="0.2">
      <c r="A5" s="13" t="s">
        <v>5</v>
      </c>
      <c r="B5" s="14" t="s">
        <v>6</v>
      </c>
    </row>
    <row r="6" spans="1:7" ht="16" x14ac:dyDescent="0.2">
      <c r="A6" s="13" t="s">
        <v>7</v>
      </c>
      <c r="B6" s="14" t="s">
        <v>8</v>
      </c>
    </row>
    <row r="7" spans="1:7" ht="16" x14ac:dyDescent="0.2">
      <c r="A7" s="13" t="s">
        <v>9</v>
      </c>
      <c r="B7" s="14" t="s">
        <v>10</v>
      </c>
    </row>
    <row r="14" spans="1:7" x14ac:dyDescent="0.2">
      <c r="A14" s="51" t="s">
        <v>16</v>
      </c>
      <c r="B14" s="52"/>
      <c r="C14" s="52"/>
      <c r="D14" s="52"/>
      <c r="E14" s="52"/>
      <c r="F14" s="52"/>
      <c r="G14" s="53"/>
    </row>
    <row r="15" spans="1:7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7" x14ac:dyDescent="0.2">
      <c r="A16" s="19">
        <v>40000</v>
      </c>
      <c r="B16" s="22">
        <v>40000</v>
      </c>
      <c r="C16" s="22">
        <f>2*B3</f>
        <v>32000</v>
      </c>
      <c r="D16" s="22">
        <f>MIN(A16,A16)*1.9</f>
        <v>76000</v>
      </c>
      <c r="E16" s="22">
        <f>D16-C16</f>
        <v>44000</v>
      </c>
      <c r="F16" s="22">
        <v>0.15</v>
      </c>
      <c r="G16" s="22">
        <f>SUMPRODUCT(F16,E16)</f>
        <v>6600</v>
      </c>
    </row>
    <row r="17" spans="1:7" x14ac:dyDescent="0.2">
      <c r="A17" s="19">
        <v>60000</v>
      </c>
      <c r="B17" s="22">
        <v>40000</v>
      </c>
      <c r="C17" s="22">
        <v>32000</v>
      </c>
      <c r="D17" s="22">
        <v>76000</v>
      </c>
      <c r="E17" s="22">
        <f t="shared" ref="E17:E21" si="0">D17-C17</f>
        <v>44000</v>
      </c>
      <c r="F17" s="22">
        <v>0.15</v>
      </c>
      <c r="G17" s="22">
        <f t="shared" ref="G17:G21" si="1">SUMPRODUCT(F17,E17)</f>
        <v>6600</v>
      </c>
    </row>
    <row r="18" spans="1:7" x14ac:dyDescent="0.2">
      <c r="A18" s="19">
        <v>80000</v>
      </c>
      <c r="B18" s="22">
        <v>40000</v>
      </c>
      <c r="C18" s="22">
        <v>32000</v>
      </c>
      <c r="D18" s="22">
        <v>76000</v>
      </c>
      <c r="E18" s="22">
        <f t="shared" si="0"/>
        <v>44000</v>
      </c>
      <c r="F18" s="22">
        <v>0.25</v>
      </c>
      <c r="G18" s="22">
        <f t="shared" si="1"/>
        <v>11000</v>
      </c>
    </row>
    <row r="19" spans="1:7" x14ac:dyDescent="0.2">
      <c r="A19" s="19">
        <v>100000</v>
      </c>
      <c r="B19" s="22">
        <v>40000</v>
      </c>
      <c r="C19" s="22">
        <v>32000</v>
      </c>
      <c r="D19" s="22">
        <v>76000</v>
      </c>
      <c r="E19" s="22">
        <f t="shared" si="0"/>
        <v>44000</v>
      </c>
      <c r="F19" s="22">
        <v>0.25</v>
      </c>
      <c r="G19" s="22">
        <f t="shared" si="1"/>
        <v>11000</v>
      </c>
    </row>
    <row r="20" spans="1:7" x14ac:dyDescent="0.2">
      <c r="A20" s="19">
        <v>120000</v>
      </c>
      <c r="B20" s="22">
        <v>40000</v>
      </c>
      <c r="C20" s="22">
        <v>32000</v>
      </c>
      <c r="D20" s="22">
        <v>76000</v>
      </c>
      <c r="E20" s="22">
        <f t="shared" si="0"/>
        <v>44000</v>
      </c>
      <c r="F20" s="22">
        <v>0.15</v>
      </c>
      <c r="G20" s="22">
        <f t="shared" si="1"/>
        <v>6600</v>
      </c>
    </row>
    <row r="21" spans="1:7" x14ac:dyDescent="0.2">
      <c r="A21" s="19">
        <v>140000</v>
      </c>
      <c r="B21" s="22">
        <v>40000</v>
      </c>
      <c r="C21" s="22">
        <v>32000</v>
      </c>
      <c r="D21" s="22">
        <v>76000</v>
      </c>
      <c r="E21" s="22">
        <f t="shared" si="0"/>
        <v>44000</v>
      </c>
      <c r="F21" s="22">
        <v>0.05</v>
      </c>
      <c r="G21" s="22">
        <f t="shared" si="1"/>
        <v>2200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44000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3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3*16000</f>
        <v>48000</v>
      </c>
      <c r="D26" s="22">
        <f>MIN(A26,A26)*1.9</f>
        <v>76000</v>
      </c>
      <c r="E26" s="22">
        <f>D26-C26</f>
        <v>28000</v>
      </c>
      <c r="F26" s="22">
        <v>0.15</v>
      </c>
      <c r="G26" s="22">
        <f>SUMPRODUCT(F26,E26)</f>
        <v>4200</v>
      </c>
    </row>
    <row r="27" spans="1:7" x14ac:dyDescent="0.2">
      <c r="A27" s="19">
        <v>60000</v>
      </c>
      <c r="B27" s="22">
        <v>60000</v>
      </c>
      <c r="C27" s="22">
        <f t="shared" ref="C27:C31" si="2">3*16000</f>
        <v>48000</v>
      </c>
      <c r="D27" s="22">
        <f>MIN(A27,A27)*1.9</f>
        <v>114000</v>
      </c>
      <c r="E27" s="22">
        <f t="shared" ref="E27:E31" si="3">D27-C27</f>
        <v>66000</v>
      </c>
      <c r="F27" s="22">
        <v>0.15</v>
      </c>
      <c r="G27" s="22">
        <f t="shared" ref="G27:G31" si="4">SUMPRODUCT(F27,E27)</f>
        <v>9900</v>
      </c>
    </row>
    <row r="28" spans="1:7" x14ac:dyDescent="0.2">
      <c r="A28" s="19">
        <v>80000</v>
      </c>
      <c r="B28" s="22">
        <v>60000</v>
      </c>
      <c r="C28" s="22">
        <f t="shared" si="2"/>
        <v>48000</v>
      </c>
      <c r="D28" s="22">
        <v>114000</v>
      </c>
      <c r="E28" s="22">
        <f t="shared" si="3"/>
        <v>66000</v>
      </c>
      <c r="F28" s="22">
        <v>0.25</v>
      </c>
      <c r="G28" s="22">
        <f t="shared" si="4"/>
        <v>16500</v>
      </c>
    </row>
    <row r="29" spans="1:7" x14ac:dyDescent="0.2">
      <c r="A29" s="19">
        <v>100000</v>
      </c>
      <c r="B29" s="22">
        <v>60000</v>
      </c>
      <c r="C29" s="22">
        <f t="shared" si="2"/>
        <v>48000</v>
      </c>
      <c r="D29" s="22">
        <v>114000</v>
      </c>
      <c r="E29" s="22">
        <f t="shared" si="3"/>
        <v>66000</v>
      </c>
      <c r="F29" s="22">
        <v>0.25</v>
      </c>
      <c r="G29" s="22">
        <f t="shared" si="4"/>
        <v>16500</v>
      </c>
    </row>
    <row r="30" spans="1:7" x14ac:dyDescent="0.2">
      <c r="A30" s="19">
        <v>120000</v>
      </c>
      <c r="B30" s="22">
        <v>60000</v>
      </c>
      <c r="C30" s="22">
        <f t="shared" si="2"/>
        <v>48000</v>
      </c>
      <c r="D30" s="22">
        <v>114000</v>
      </c>
      <c r="E30" s="22">
        <f t="shared" si="3"/>
        <v>66000</v>
      </c>
      <c r="F30" s="22">
        <v>0.15</v>
      </c>
      <c r="G30" s="22">
        <f t="shared" si="4"/>
        <v>9900</v>
      </c>
    </row>
    <row r="31" spans="1:7" x14ac:dyDescent="0.2">
      <c r="A31" s="19">
        <v>140000</v>
      </c>
      <c r="B31" s="22">
        <v>60000</v>
      </c>
      <c r="C31" s="22">
        <f t="shared" si="2"/>
        <v>48000</v>
      </c>
      <c r="D31" s="22">
        <v>114000</v>
      </c>
      <c r="E31" s="22">
        <f t="shared" si="3"/>
        <v>66000</v>
      </c>
      <c r="F31" s="22">
        <v>0.05</v>
      </c>
      <c r="G31" s="22">
        <f t="shared" si="4"/>
        <v>3300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60300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3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4*16000</f>
        <v>64000</v>
      </c>
      <c r="D36" s="22">
        <v>76000</v>
      </c>
      <c r="E36" s="22">
        <f>D36-C36</f>
        <v>12000</v>
      </c>
      <c r="F36" s="22">
        <v>0.15</v>
      </c>
      <c r="G36" s="22">
        <f>SUMPRODUCT(F36,E36)</f>
        <v>1800</v>
      </c>
    </row>
    <row r="37" spans="1:7" x14ac:dyDescent="0.2">
      <c r="A37" s="19">
        <v>60000</v>
      </c>
      <c r="B37" s="22">
        <v>60000</v>
      </c>
      <c r="C37" s="22">
        <f t="shared" ref="C37:C41" si="5">4*16000</f>
        <v>64000</v>
      </c>
      <c r="D37" s="22">
        <v>114000</v>
      </c>
      <c r="E37" s="22">
        <f t="shared" ref="E37:E41" si="6">D37-C37</f>
        <v>50000</v>
      </c>
      <c r="F37" s="22">
        <v>0.15</v>
      </c>
      <c r="G37" s="22">
        <f t="shared" ref="G37:G41" si="7">SUMPRODUCT(F37,E37)</f>
        <v>7500</v>
      </c>
    </row>
    <row r="38" spans="1:7" x14ac:dyDescent="0.2">
      <c r="A38" s="19">
        <v>80000</v>
      </c>
      <c r="B38" s="22">
        <v>80000</v>
      </c>
      <c r="C38" s="22">
        <f t="shared" si="5"/>
        <v>64000</v>
      </c>
      <c r="D38" s="22">
        <f>MIN(A38,A38)*1.9</f>
        <v>152000</v>
      </c>
      <c r="E38" s="22">
        <f t="shared" si="6"/>
        <v>88000</v>
      </c>
      <c r="F38" s="22">
        <v>0.25</v>
      </c>
      <c r="G38" s="22">
        <f t="shared" si="7"/>
        <v>22000</v>
      </c>
    </row>
    <row r="39" spans="1:7" x14ac:dyDescent="0.2">
      <c r="A39" s="19">
        <v>100000</v>
      </c>
      <c r="B39" s="22">
        <v>80000</v>
      </c>
      <c r="C39" s="22">
        <f t="shared" si="5"/>
        <v>64000</v>
      </c>
      <c r="D39" s="22">
        <v>152000</v>
      </c>
      <c r="E39" s="22">
        <f t="shared" si="6"/>
        <v>88000</v>
      </c>
      <c r="F39" s="22">
        <v>0.25</v>
      </c>
      <c r="G39" s="22">
        <f t="shared" si="7"/>
        <v>22000</v>
      </c>
    </row>
    <row r="40" spans="1:7" x14ac:dyDescent="0.2">
      <c r="A40" s="19">
        <v>120000</v>
      </c>
      <c r="B40" s="22">
        <v>80000</v>
      </c>
      <c r="C40" s="22">
        <f t="shared" si="5"/>
        <v>64000</v>
      </c>
      <c r="D40" s="22">
        <v>152000</v>
      </c>
      <c r="E40" s="22">
        <f t="shared" si="6"/>
        <v>88000</v>
      </c>
      <c r="F40" s="22">
        <v>0.15</v>
      </c>
      <c r="G40" s="22">
        <f t="shared" si="7"/>
        <v>13200</v>
      </c>
    </row>
    <row r="41" spans="1:7" x14ac:dyDescent="0.2">
      <c r="A41" s="19">
        <v>140000</v>
      </c>
      <c r="B41" s="22">
        <v>80000</v>
      </c>
      <c r="C41" s="22">
        <f t="shared" si="5"/>
        <v>64000</v>
      </c>
      <c r="D41" s="22">
        <v>152000</v>
      </c>
      <c r="E41" s="22">
        <f t="shared" si="6"/>
        <v>88000</v>
      </c>
      <c r="F41" s="22">
        <v>0.05</v>
      </c>
      <c r="G41" s="22">
        <f t="shared" si="7"/>
        <v>4400</v>
      </c>
    </row>
    <row r="42" spans="1:7" x14ac:dyDescent="0.2">
      <c r="A42" s="48"/>
      <c r="B42" s="49"/>
      <c r="C42" s="49"/>
      <c r="D42" s="49"/>
      <c r="E42" s="54"/>
      <c r="F42" s="21" t="s">
        <v>19</v>
      </c>
      <c r="G42" s="24">
        <f>SUM(G36:G41)</f>
        <v>70900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3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5*16000</f>
        <v>80000</v>
      </c>
      <c r="D46" s="22">
        <v>76000</v>
      </c>
      <c r="E46" s="22">
        <f>D46-C46</f>
        <v>-4000</v>
      </c>
      <c r="F46" s="22">
        <v>0.15</v>
      </c>
      <c r="G46" s="22">
        <f>SUMPRODUCT(F46,E46)</f>
        <v>-600</v>
      </c>
    </row>
    <row r="47" spans="1:7" x14ac:dyDescent="0.2">
      <c r="A47" s="19">
        <v>60000</v>
      </c>
      <c r="B47" s="22">
        <v>60000</v>
      </c>
      <c r="C47" s="22">
        <f t="shared" ref="C47:C51" si="8">5*16000</f>
        <v>80000</v>
      </c>
      <c r="D47" s="22">
        <v>114000</v>
      </c>
      <c r="E47" s="22">
        <f t="shared" ref="E47:E51" si="9">D47-C47</f>
        <v>34000</v>
      </c>
      <c r="F47" s="22">
        <v>0.15</v>
      </c>
      <c r="G47" s="22">
        <f t="shared" ref="G47:G51" si="10">SUMPRODUCT(F47,E47)</f>
        <v>5100</v>
      </c>
    </row>
    <row r="48" spans="1:7" x14ac:dyDescent="0.2">
      <c r="A48" s="19">
        <v>80000</v>
      </c>
      <c r="B48" s="22">
        <v>80000</v>
      </c>
      <c r="C48" s="22">
        <f t="shared" si="8"/>
        <v>80000</v>
      </c>
      <c r="D48" s="22">
        <v>152000</v>
      </c>
      <c r="E48" s="22">
        <f t="shared" si="9"/>
        <v>72000</v>
      </c>
      <c r="F48" s="22">
        <v>0.25</v>
      </c>
      <c r="G48" s="22">
        <f t="shared" si="10"/>
        <v>18000</v>
      </c>
    </row>
    <row r="49" spans="1:7" x14ac:dyDescent="0.2">
      <c r="A49" s="19">
        <v>100000</v>
      </c>
      <c r="B49" s="22">
        <v>100000</v>
      </c>
      <c r="C49" s="22">
        <f t="shared" si="8"/>
        <v>80000</v>
      </c>
      <c r="D49" s="22">
        <f>MIN(A49,A49)*1.9</f>
        <v>190000</v>
      </c>
      <c r="E49" s="22">
        <f t="shared" si="9"/>
        <v>110000</v>
      </c>
      <c r="F49" s="22">
        <v>0.25</v>
      </c>
      <c r="G49" s="22">
        <f t="shared" si="10"/>
        <v>27500</v>
      </c>
    </row>
    <row r="50" spans="1:7" x14ac:dyDescent="0.2">
      <c r="A50" s="19">
        <v>120000</v>
      </c>
      <c r="B50" s="22">
        <v>100000</v>
      </c>
      <c r="C50" s="22">
        <f t="shared" si="8"/>
        <v>80000</v>
      </c>
      <c r="D50" s="22">
        <v>190000</v>
      </c>
      <c r="E50" s="22">
        <f t="shared" si="9"/>
        <v>110000</v>
      </c>
      <c r="F50" s="22">
        <v>0.15</v>
      </c>
      <c r="G50" s="22">
        <f t="shared" si="10"/>
        <v>16500</v>
      </c>
    </row>
    <row r="51" spans="1:7" x14ac:dyDescent="0.2">
      <c r="A51" s="19">
        <v>140000</v>
      </c>
      <c r="B51" s="22">
        <v>100000</v>
      </c>
      <c r="C51" s="22">
        <f t="shared" si="8"/>
        <v>80000</v>
      </c>
      <c r="D51" s="22">
        <v>190000</v>
      </c>
      <c r="E51" s="22">
        <f t="shared" si="9"/>
        <v>110000</v>
      </c>
      <c r="F51" s="22">
        <v>0.05</v>
      </c>
      <c r="G51" s="22">
        <f t="shared" si="10"/>
        <v>5500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8">
        <f>SUM(G46:G51)</f>
        <v>72000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3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6*16000</f>
        <v>96000</v>
      </c>
      <c r="D56" s="22">
        <v>76000</v>
      </c>
      <c r="E56" s="22">
        <f>D56-C56</f>
        <v>-20000</v>
      </c>
      <c r="F56" s="22">
        <v>0.15</v>
      </c>
      <c r="G56" s="22">
        <f>SUMPRODUCT(F56,E56)</f>
        <v>-3000</v>
      </c>
    </row>
    <row r="57" spans="1:7" x14ac:dyDescent="0.2">
      <c r="A57" s="19">
        <v>60000</v>
      </c>
      <c r="B57" s="22">
        <v>60000</v>
      </c>
      <c r="C57" s="22">
        <f t="shared" ref="C57:C61" si="11">6*16000</f>
        <v>96000</v>
      </c>
      <c r="D57" s="22">
        <v>114000</v>
      </c>
      <c r="E57" s="22">
        <f t="shared" ref="E57:E61" si="12">D57-C57</f>
        <v>18000</v>
      </c>
      <c r="F57" s="22">
        <v>0.15</v>
      </c>
      <c r="G57" s="22">
        <f t="shared" ref="G57:G61" si="13">SUMPRODUCT(F57,E57)</f>
        <v>2700</v>
      </c>
    </row>
    <row r="58" spans="1:7" x14ac:dyDescent="0.2">
      <c r="A58" s="19">
        <v>80000</v>
      </c>
      <c r="B58" s="22">
        <v>80000</v>
      </c>
      <c r="C58" s="22">
        <f t="shared" si="11"/>
        <v>96000</v>
      </c>
      <c r="D58" s="22">
        <v>152000</v>
      </c>
      <c r="E58" s="22">
        <f t="shared" si="12"/>
        <v>56000</v>
      </c>
      <c r="F58" s="22">
        <v>0.25</v>
      </c>
      <c r="G58" s="22">
        <f t="shared" si="13"/>
        <v>14000</v>
      </c>
    </row>
    <row r="59" spans="1:7" x14ac:dyDescent="0.2">
      <c r="A59" s="19">
        <v>100000</v>
      </c>
      <c r="B59" s="22">
        <v>100000</v>
      </c>
      <c r="C59" s="22">
        <f t="shared" si="11"/>
        <v>96000</v>
      </c>
      <c r="D59" s="22">
        <f>MIN(A59,A59)*1.9</f>
        <v>190000</v>
      </c>
      <c r="E59" s="22">
        <f t="shared" si="12"/>
        <v>94000</v>
      </c>
      <c r="F59" s="22">
        <v>0.25</v>
      </c>
      <c r="G59" s="22">
        <f t="shared" si="13"/>
        <v>23500</v>
      </c>
    </row>
    <row r="60" spans="1:7" x14ac:dyDescent="0.2">
      <c r="A60" s="19">
        <v>120000</v>
      </c>
      <c r="B60" s="22">
        <v>120000</v>
      </c>
      <c r="C60" s="22">
        <f t="shared" si="11"/>
        <v>96000</v>
      </c>
      <c r="D60" s="22">
        <f>MIN(A60,A60)*1.9</f>
        <v>228000</v>
      </c>
      <c r="E60" s="22">
        <f t="shared" si="12"/>
        <v>132000</v>
      </c>
      <c r="F60" s="22">
        <v>0.15</v>
      </c>
      <c r="G60" s="22">
        <f t="shared" si="13"/>
        <v>19800</v>
      </c>
    </row>
    <row r="61" spans="1:7" x14ac:dyDescent="0.2">
      <c r="A61" s="19">
        <v>140000</v>
      </c>
      <c r="B61" s="22">
        <v>120000</v>
      </c>
      <c r="C61" s="22">
        <f t="shared" si="11"/>
        <v>96000</v>
      </c>
      <c r="D61" s="22">
        <v>228000</v>
      </c>
      <c r="E61" s="22">
        <f t="shared" si="12"/>
        <v>132000</v>
      </c>
      <c r="F61" s="22">
        <v>0.05</v>
      </c>
      <c r="G61" s="22">
        <f t="shared" si="13"/>
        <v>6600</v>
      </c>
    </row>
    <row r="62" spans="1:7" x14ac:dyDescent="0.2">
      <c r="A62" s="48"/>
      <c r="B62" s="49"/>
      <c r="C62" s="49"/>
      <c r="D62" s="49"/>
      <c r="E62" s="54"/>
      <c r="F62" s="21" t="s">
        <v>19</v>
      </c>
      <c r="G62" s="24">
        <f>SUM(G56:G61)</f>
        <v>63600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3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7*16000</f>
        <v>112000</v>
      </c>
      <c r="D66" s="22">
        <f>MIN(A66,A66)*1.9</f>
        <v>76000</v>
      </c>
      <c r="E66" s="22">
        <f>D66-C66</f>
        <v>-36000</v>
      </c>
      <c r="F66" s="22">
        <v>0.15</v>
      </c>
      <c r="G66" s="22">
        <f>SUMPRODUCT(F66,E66)</f>
        <v>-5400</v>
      </c>
    </row>
    <row r="67" spans="1:7" x14ac:dyDescent="0.2">
      <c r="A67" s="19">
        <v>60000</v>
      </c>
      <c r="B67" s="22">
        <v>60000</v>
      </c>
      <c r="C67" s="22">
        <f t="shared" ref="C67:C71" si="14">7*16000</f>
        <v>112000</v>
      </c>
      <c r="D67" s="22">
        <f t="shared" ref="D67:D71" si="15">MIN(A67,A67)*1.9</f>
        <v>114000</v>
      </c>
      <c r="E67" s="22">
        <f t="shared" ref="E67:E71" si="16">D67-C67</f>
        <v>2000</v>
      </c>
      <c r="F67" s="22">
        <v>0.15</v>
      </c>
      <c r="G67" s="22">
        <f t="shared" ref="G67:G71" si="17">SUMPRODUCT(F67,E67)</f>
        <v>300</v>
      </c>
    </row>
    <row r="68" spans="1:7" x14ac:dyDescent="0.2">
      <c r="A68" s="19">
        <v>80000</v>
      </c>
      <c r="B68" s="22">
        <v>80000</v>
      </c>
      <c r="C68" s="22">
        <f t="shared" si="14"/>
        <v>112000</v>
      </c>
      <c r="D68" s="22">
        <f t="shared" si="15"/>
        <v>152000</v>
      </c>
      <c r="E68" s="22">
        <f t="shared" si="16"/>
        <v>40000</v>
      </c>
      <c r="F68" s="22">
        <v>0.25</v>
      </c>
      <c r="G68" s="22">
        <f t="shared" si="17"/>
        <v>10000</v>
      </c>
    </row>
    <row r="69" spans="1:7" x14ac:dyDescent="0.2">
      <c r="A69" s="19">
        <v>100000</v>
      </c>
      <c r="B69" s="22">
        <v>100000</v>
      </c>
      <c r="C69" s="22">
        <f t="shared" si="14"/>
        <v>112000</v>
      </c>
      <c r="D69" s="22">
        <f t="shared" si="15"/>
        <v>190000</v>
      </c>
      <c r="E69" s="22">
        <f t="shared" si="16"/>
        <v>78000</v>
      </c>
      <c r="F69" s="22">
        <v>0.25</v>
      </c>
      <c r="G69" s="22">
        <f t="shared" si="17"/>
        <v>19500</v>
      </c>
    </row>
    <row r="70" spans="1:7" x14ac:dyDescent="0.2">
      <c r="A70" s="19">
        <v>120000</v>
      </c>
      <c r="B70" s="22">
        <v>120000</v>
      </c>
      <c r="C70" s="22">
        <f t="shared" si="14"/>
        <v>112000</v>
      </c>
      <c r="D70" s="22">
        <f t="shared" si="15"/>
        <v>228000</v>
      </c>
      <c r="E70" s="22">
        <f t="shared" si="16"/>
        <v>116000</v>
      </c>
      <c r="F70" s="22">
        <v>0.15</v>
      </c>
      <c r="G70" s="22">
        <f t="shared" si="17"/>
        <v>17400</v>
      </c>
    </row>
    <row r="71" spans="1:7" x14ac:dyDescent="0.2">
      <c r="A71" s="19">
        <v>140000</v>
      </c>
      <c r="B71" s="22">
        <v>140000</v>
      </c>
      <c r="C71" s="22">
        <f t="shared" si="14"/>
        <v>112000</v>
      </c>
      <c r="D71" s="22">
        <f t="shared" si="15"/>
        <v>266000</v>
      </c>
      <c r="E71" s="22">
        <f t="shared" si="16"/>
        <v>154000</v>
      </c>
      <c r="F71" s="22">
        <v>0.05</v>
      </c>
      <c r="G71" s="22">
        <f t="shared" si="17"/>
        <v>7700</v>
      </c>
    </row>
    <row r="72" spans="1:7" x14ac:dyDescent="0.2">
      <c r="A72" s="48"/>
      <c r="B72" s="49"/>
      <c r="C72" s="49"/>
      <c r="D72" s="49"/>
      <c r="E72" s="54"/>
      <c r="F72" s="21" t="s">
        <v>19</v>
      </c>
      <c r="G72" s="24">
        <f>SUM(G66:G71)</f>
        <v>49500</v>
      </c>
    </row>
    <row r="77" spans="1:7" x14ac:dyDescent="0.2">
      <c r="A77" s="18" t="s">
        <v>12</v>
      </c>
      <c r="B77" s="18" t="s">
        <v>28</v>
      </c>
      <c r="C77" s="18" t="s">
        <v>13</v>
      </c>
    </row>
    <row r="78" spans="1:7" x14ac:dyDescent="0.2">
      <c r="A78" s="8">
        <v>40000</v>
      </c>
      <c r="B78" s="7">
        <v>44000</v>
      </c>
      <c r="C78" s="8">
        <v>2</v>
      </c>
    </row>
    <row r="79" spans="1:7" x14ac:dyDescent="0.2">
      <c r="A79" s="8">
        <v>60000</v>
      </c>
      <c r="B79" s="7">
        <v>60300</v>
      </c>
      <c r="C79" s="8">
        <v>3</v>
      </c>
    </row>
    <row r="80" spans="1:7" x14ac:dyDescent="0.2">
      <c r="A80" s="6">
        <v>80000</v>
      </c>
      <c r="B80" s="7">
        <v>70900</v>
      </c>
      <c r="C80" s="6">
        <v>4</v>
      </c>
    </row>
    <row r="81" spans="1:3" x14ac:dyDescent="0.2">
      <c r="A81" s="9">
        <v>100000</v>
      </c>
      <c r="B81" s="10">
        <v>72000</v>
      </c>
      <c r="C81" s="9">
        <v>5</v>
      </c>
    </row>
    <row r="82" spans="1:3" x14ac:dyDescent="0.2">
      <c r="A82" s="8">
        <v>120000</v>
      </c>
      <c r="B82" s="7">
        <v>63600</v>
      </c>
      <c r="C82" s="8">
        <v>6</v>
      </c>
    </row>
    <row r="83" spans="1:3" x14ac:dyDescent="0.2">
      <c r="A83" s="8">
        <v>140000</v>
      </c>
      <c r="B83" s="7">
        <v>49500</v>
      </c>
      <c r="C83" s="8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1DB0-7BD7-AC4D-ABA2-9E47891719AA}">
  <dimension ref="A1:G83"/>
  <sheetViews>
    <sheetView workbookViewId="0">
      <selection activeCell="C90" sqref="C90"/>
    </sheetView>
  </sheetViews>
  <sheetFormatPr baseColWidth="10" defaultRowHeight="15" x14ac:dyDescent="0.2"/>
  <cols>
    <col min="1" max="1" width="31.1640625" customWidth="1"/>
    <col min="2" max="2" width="27.1640625" customWidth="1"/>
    <col min="4" max="4" width="19" customWidth="1"/>
    <col min="7" max="7" width="25.5" customWidth="1"/>
  </cols>
  <sheetData>
    <row r="1" spans="1:7" ht="16" x14ac:dyDescent="0.2">
      <c r="A1" s="11" t="s">
        <v>0</v>
      </c>
      <c r="B1" s="12" t="s">
        <v>1</v>
      </c>
    </row>
    <row r="2" spans="1:7" ht="16" x14ac:dyDescent="0.2">
      <c r="A2" s="13" t="s">
        <v>2</v>
      </c>
      <c r="B2" s="14">
        <v>1.9</v>
      </c>
    </row>
    <row r="3" spans="1:7" ht="16" x14ac:dyDescent="0.2">
      <c r="A3" s="13" t="s">
        <v>3</v>
      </c>
      <c r="B3" s="14">
        <v>18000</v>
      </c>
    </row>
    <row r="4" spans="1:7" ht="16" x14ac:dyDescent="0.2">
      <c r="A4" s="13" t="s">
        <v>4</v>
      </c>
      <c r="B4" s="14">
        <v>20000</v>
      </c>
    </row>
    <row r="5" spans="1:7" ht="16" x14ac:dyDescent="0.2">
      <c r="A5" s="13" t="s">
        <v>5</v>
      </c>
      <c r="B5" s="14" t="s">
        <v>6</v>
      </c>
    </row>
    <row r="6" spans="1:7" ht="16" x14ac:dyDescent="0.2">
      <c r="A6" s="13" t="s">
        <v>7</v>
      </c>
      <c r="B6" s="14" t="s">
        <v>8</v>
      </c>
    </row>
    <row r="7" spans="1:7" ht="16" x14ac:dyDescent="0.2">
      <c r="A7" s="13" t="s">
        <v>9</v>
      </c>
      <c r="B7" s="14" t="s">
        <v>10</v>
      </c>
    </row>
    <row r="14" spans="1:7" x14ac:dyDescent="0.2">
      <c r="A14" s="51" t="s">
        <v>16</v>
      </c>
      <c r="B14" s="52"/>
      <c r="C14" s="52"/>
      <c r="D14" s="52"/>
      <c r="E14" s="52"/>
      <c r="F14" s="52"/>
      <c r="G14" s="53"/>
    </row>
    <row r="15" spans="1:7" x14ac:dyDescent="0.2">
      <c r="A15" s="20" t="s">
        <v>12</v>
      </c>
      <c r="B15" s="21" t="s">
        <v>26</v>
      </c>
      <c r="C15" s="21" t="s">
        <v>14</v>
      </c>
      <c r="D15" s="21" t="s">
        <v>17</v>
      </c>
      <c r="E15" s="21" t="s">
        <v>15</v>
      </c>
      <c r="F15" s="21" t="s">
        <v>11</v>
      </c>
      <c r="G15" s="21" t="s">
        <v>18</v>
      </c>
    </row>
    <row r="16" spans="1:7" x14ac:dyDescent="0.2">
      <c r="A16" s="19">
        <v>40000</v>
      </c>
      <c r="B16" s="22">
        <v>40000</v>
      </c>
      <c r="C16" s="22">
        <f>2*18000</f>
        <v>36000</v>
      </c>
      <c r="D16" s="22">
        <f>MIN(A16,A16)*1.9</f>
        <v>76000</v>
      </c>
      <c r="E16" s="22">
        <f>D16-C16</f>
        <v>40000</v>
      </c>
      <c r="F16" s="22">
        <v>0.15</v>
      </c>
      <c r="G16" s="22">
        <f>SUMPRODUCT(F16,E16)</f>
        <v>6000</v>
      </c>
    </row>
    <row r="17" spans="1:7" x14ac:dyDescent="0.2">
      <c r="A17" s="19">
        <v>60000</v>
      </c>
      <c r="B17" s="22">
        <v>40000</v>
      </c>
      <c r="C17" s="22">
        <f t="shared" ref="C17:C21" si="0">2*18000</f>
        <v>36000</v>
      </c>
      <c r="D17" s="22">
        <v>76000</v>
      </c>
      <c r="E17" s="22">
        <f t="shared" ref="E17:E21" si="1">D17-C17</f>
        <v>40000</v>
      </c>
      <c r="F17" s="22">
        <v>0.15</v>
      </c>
      <c r="G17" s="22">
        <f t="shared" ref="G17:G21" si="2">SUMPRODUCT(F17,E17)</f>
        <v>6000</v>
      </c>
    </row>
    <row r="18" spans="1:7" x14ac:dyDescent="0.2">
      <c r="A18" s="19">
        <v>80000</v>
      </c>
      <c r="B18" s="22">
        <v>40000</v>
      </c>
      <c r="C18" s="22">
        <f t="shared" si="0"/>
        <v>36000</v>
      </c>
      <c r="D18" s="22">
        <v>76000</v>
      </c>
      <c r="E18" s="22">
        <f t="shared" si="1"/>
        <v>40000</v>
      </c>
      <c r="F18" s="22">
        <v>0.25</v>
      </c>
      <c r="G18" s="22">
        <f t="shared" si="2"/>
        <v>10000</v>
      </c>
    </row>
    <row r="19" spans="1:7" x14ac:dyDescent="0.2">
      <c r="A19" s="19">
        <v>100000</v>
      </c>
      <c r="B19" s="22">
        <v>40000</v>
      </c>
      <c r="C19" s="22">
        <f t="shared" si="0"/>
        <v>36000</v>
      </c>
      <c r="D19" s="22">
        <v>76000</v>
      </c>
      <c r="E19" s="22">
        <f t="shared" si="1"/>
        <v>40000</v>
      </c>
      <c r="F19" s="22">
        <v>0.25</v>
      </c>
      <c r="G19" s="22">
        <f t="shared" si="2"/>
        <v>10000</v>
      </c>
    </row>
    <row r="20" spans="1:7" x14ac:dyDescent="0.2">
      <c r="A20" s="19">
        <v>120000</v>
      </c>
      <c r="B20" s="22">
        <v>40000</v>
      </c>
      <c r="C20" s="22">
        <f t="shared" si="0"/>
        <v>36000</v>
      </c>
      <c r="D20" s="22">
        <v>76000</v>
      </c>
      <c r="E20" s="22">
        <f t="shared" si="1"/>
        <v>40000</v>
      </c>
      <c r="F20" s="22">
        <v>0.15</v>
      </c>
      <c r="G20" s="22">
        <f t="shared" si="2"/>
        <v>6000</v>
      </c>
    </row>
    <row r="21" spans="1:7" x14ac:dyDescent="0.2">
      <c r="A21" s="19">
        <v>140000</v>
      </c>
      <c r="B21" s="22">
        <v>40000</v>
      </c>
      <c r="C21" s="22">
        <f t="shared" si="0"/>
        <v>36000</v>
      </c>
      <c r="D21" s="22">
        <v>76000</v>
      </c>
      <c r="E21" s="22">
        <f t="shared" si="1"/>
        <v>40000</v>
      </c>
      <c r="F21" s="22">
        <v>0.05</v>
      </c>
      <c r="G21" s="22">
        <f t="shared" si="2"/>
        <v>2000</v>
      </c>
    </row>
    <row r="22" spans="1:7" x14ac:dyDescent="0.2">
      <c r="A22" s="48"/>
      <c r="B22" s="49"/>
      <c r="C22" s="49"/>
      <c r="D22" s="49"/>
      <c r="E22" s="54"/>
      <c r="F22" s="21" t="s">
        <v>19</v>
      </c>
      <c r="G22" s="24">
        <f>SUM(G16:G21)</f>
        <v>40000</v>
      </c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51" t="s">
        <v>20</v>
      </c>
      <c r="B24" s="52"/>
      <c r="C24" s="52"/>
      <c r="D24" s="52"/>
      <c r="E24" s="52"/>
      <c r="F24" s="52"/>
      <c r="G24" s="53"/>
    </row>
    <row r="25" spans="1:7" x14ac:dyDescent="0.2">
      <c r="A25" s="20" t="s">
        <v>12</v>
      </c>
      <c r="B25" s="21" t="s">
        <v>26</v>
      </c>
      <c r="C25" s="21" t="s">
        <v>14</v>
      </c>
      <c r="D25" s="21" t="s">
        <v>17</v>
      </c>
      <c r="E25" s="21" t="s">
        <v>15</v>
      </c>
      <c r="F25" s="21" t="s">
        <v>11</v>
      </c>
      <c r="G25" s="21" t="s">
        <v>21</v>
      </c>
    </row>
    <row r="26" spans="1:7" x14ac:dyDescent="0.2">
      <c r="A26" s="19">
        <v>40000</v>
      </c>
      <c r="B26" s="22">
        <v>40000</v>
      </c>
      <c r="C26" s="22">
        <f>3*18000</f>
        <v>54000</v>
      </c>
      <c r="D26" s="22">
        <f>MIN(A26,A26)*1.9</f>
        <v>76000</v>
      </c>
      <c r="E26" s="22">
        <f>D26-C26</f>
        <v>22000</v>
      </c>
      <c r="F26" s="22">
        <v>0.15</v>
      </c>
      <c r="G26" s="22">
        <f>SUMPRODUCT(F26,E26)</f>
        <v>3300</v>
      </c>
    </row>
    <row r="27" spans="1:7" x14ac:dyDescent="0.2">
      <c r="A27" s="19">
        <v>60000</v>
      </c>
      <c r="B27" s="22">
        <v>60000</v>
      </c>
      <c r="C27" s="22">
        <f t="shared" ref="C27:C31" si="3">3*18000</f>
        <v>54000</v>
      </c>
      <c r="D27" s="22">
        <f>MIN(A27,A27)*1.9</f>
        <v>114000</v>
      </c>
      <c r="E27" s="22">
        <f t="shared" ref="E27:E31" si="4">D27-C27</f>
        <v>60000</v>
      </c>
      <c r="F27" s="22">
        <v>0.15</v>
      </c>
      <c r="G27" s="22">
        <f t="shared" ref="G27:G31" si="5">SUMPRODUCT(F27,E27)</f>
        <v>9000</v>
      </c>
    </row>
    <row r="28" spans="1:7" x14ac:dyDescent="0.2">
      <c r="A28" s="19">
        <v>80000</v>
      </c>
      <c r="B28" s="22">
        <v>60000</v>
      </c>
      <c r="C28" s="22">
        <f t="shared" si="3"/>
        <v>54000</v>
      </c>
      <c r="D28" s="22">
        <v>114000</v>
      </c>
      <c r="E28" s="22">
        <f t="shared" si="4"/>
        <v>60000</v>
      </c>
      <c r="F28" s="22">
        <v>0.25</v>
      </c>
      <c r="G28" s="22">
        <f t="shared" si="5"/>
        <v>15000</v>
      </c>
    </row>
    <row r="29" spans="1:7" x14ac:dyDescent="0.2">
      <c r="A29" s="19">
        <v>100000</v>
      </c>
      <c r="B29" s="22">
        <v>60000</v>
      </c>
      <c r="C29" s="22">
        <f t="shared" si="3"/>
        <v>54000</v>
      </c>
      <c r="D29" s="22">
        <v>114000</v>
      </c>
      <c r="E29" s="22">
        <f t="shared" si="4"/>
        <v>60000</v>
      </c>
      <c r="F29" s="22">
        <v>0.25</v>
      </c>
      <c r="G29" s="22">
        <f t="shared" si="5"/>
        <v>15000</v>
      </c>
    </row>
    <row r="30" spans="1:7" x14ac:dyDescent="0.2">
      <c r="A30" s="19">
        <v>120000</v>
      </c>
      <c r="B30" s="22">
        <v>60000</v>
      </c>
      <c r="C30" s="22">
        <f t="shared" si="3"/>
        <v>54000</v>
      </c>
      <c r="D30" s="22">
        <v>114000</v>
      </c>
      <c r="E30" s="22">
        <f t="shared" si="4"/>
        <v>60000</v>
      </c>
      <c r="F30" s="22">
        <v>0.15</v>
      </c>
      <c r="G30" s="22">
        <f t="shared" si="5"/>
        <v>9000</v>
      </c>
    </row>
    <row r="31" spans="1:7" x14ac:dyDescent="0.2">
      <c r="A31" s="19">
        <v>140000</v>
      </c>
      <c r="B31" s="22">
        <v>60000</v>
      </c>
      <c r="C31" s="22">
        <f t="shared" si="3"/>
        <v>54000</v>
      </c>
      <c r="D31" s="22">
        <v>114000</v>
      </c>
      <c r="E31" s="22">
        <f t="shared" si="4"/>
        <v>60000</v>
      </c>
      <c r="F31" s="22">
        <v>0.05</v>
      </c>
      <c r="G31" s="22">
        <f t="shared" si="5"/>
        <v>3000</v>
      </c>
    </row>
    <row r="32" spans="1:7" x14ac:dyDescent="0.2">
      <c r="A32" s="48"/>
      <c r="B32" s="49"/>
      <c r="C32" s="49"/>
      <c r="D32" s="49"/>
      <c r="E32" s="54"/>
      <c r="F32" s="21" t="s">
        <v>19</v>
      </c>
      <c r="G32" s="24">
        <f>SUM(G26:G31)</f>
        <v>54300</v>
      </c>
    </row>
    <row r="33" spans="1:7" x14ac:dyDescent="0.2">
      <c r="A33" s="23"/>
      <c r="B33" s="23"/>
      <c r="C33" s="23"/>
      <c r="D33" s="23"/>
      <c r="E33" s="23"/>
      <c r="F33" s="23"/>
      <c r="G33" s="23"/>
    </row>
    <row r="34" spans="1:7" x14ac:dyDescent="0.2">
      <c r="A34" s="51" t="s">
        <v>22</v>
      </c>
      <c r="B34" s="52"/>
      <c r="C34" s="52"/>
      <c r="D34" s="52"/>
      <c r="E34" s="52"/>
      <c r="F34" s="52"/>
      <c r="G34" s="53"/>
    </row>
    <row r="35" spans="1:7" x14ac:dyDescent="0.2">
      <c r="A35" s="20" t="s">
        <v>12</v>
      </c>
      <c r="B35" s="21" t="s">
        <v>26</v>
      </c>
      <c r="C35" s="21" t="s">
        <v>14</v>
      </c>
      <c r="D35" s="21" t="s">
        <v>17</v>
      </c>
      <c r="E35" s="21" t="s">
        <v>15</v>
      </c>
      <c r="F35" s="21" t="s">
        <v>11</v>
      </c>
      <c r="G35" s="21" t="s">
        <v>21</v>
      </c>
    </row>
    <row r="36" spans="1:7" x14ac:dyDescent="0.2">
      <c r="A36" s="19">
        <v>40000</v>
      </c>
      <c r="B36" s="22">
        <v>40000</v>
      </c>
      <c r="C36" s="22">
        <f>4*18000</f>
        <v>72000</v>
      </c>
      <c r="D36" s="22">
        <v>76000</v>
      </c>
      <c r="E36" s="22">
        <f>D36-C36</f>
        <v>4000</v>
      </c>
      <c r="F36" s="22">
        <v>0.15</v>
      </c>
      <c r="G36" s="22">
        <f>SUMPRODUCT(F36,E36)</f>
        <v>600</v>
      </c>
    </row>
    <row r="37" spans="1:7" x14ac:dyDescent="0.2">
      <c r="A37" s="19">
        <v>60000</v>
      </c>
      <c r="B37" s="22">
        <v>60000</v>
      </c>
      <c r="C37" s="22">
        <f t="shared" ref="C37:C41" si="6">4*18000</f>
        <v>72000</v>
      </c>
      <c r="D37" s="22">
        <v>114000</v>
      </c>
      <c r="E37" s="22">
        <f t="shared" ref="E37:E41" si="7">D37-C37</f>
        <v>42000</v>
      </c>
      <c r="F37" s="22">
        <v>0.15</v>
      </c>
      <c r="G37" s="22">
        <f t="shared" ref="G37:G41" si="8">SUMPRODUCT(F37,E37)</f>
        <v>6300</v>
      </c>
    </row>
    <row r="38" spans="1:7" x14ac:dyDescent="0.2">
      <c r="A38" s="19">
        <v>80000</v>
      </c>
      <c r="B38" s="22">
        <v>80000</v>
      </c>
      <c r="C38" s="22">
        <f t="shared" si="6"/>
        <v>72000</v>
      </c>
      <c r="D38" s="22">
        <f>MIN(A38,A38)*1.9</f>
        <v>152000</v>
      </c>
      <c r="E38" s="22">
        <f t="shared" si="7"/>
        <v>80000</v>
      </c>
      <c r="F38" s="22">
        <v>0.25</v>
      </c>
      <c r="G38" s="22">
        <f t="shared" si="8"/>
        <v>20000</v>
      </c>
    </row>
    <row r="39" spans="1:7" x14ac:dyDescent="0.2">
      <c r="A39" s="19">
        <v>100000</v>
      </c>
      <c r="B39" s="22">
        <v>80000</v>
      </c>
      <c r="C39" s="22">
        <f t="shared" si="6"/>
        <v>72000</v>
      </c>
      <c r="D39" s="22">
        <v>152000</v>
      </c>
      <c r="E39" s="22">
        <f t="shared" si="7"/>
        <v>80000</v>
      </c>
      <c r="F39" s="22">
        <v>0.25</v>
      </c>
      <c r="G39" s="22">
        <f t="shared" si="8"/>
        <v>20000</v>
      </c>
    </row>
    <row r="40" spans="1:7" x14ac:dyDescent="0.2">
      <c r="A40" s="19">
        <v>120000</v>
      </c>
      <c r="B40" s="22">
        <v>80000</v>
      </c>
      <c r="C40" s="22">
        <f t="shared" si="6"/>
        <v>72000</v>
      </c>
      <c r="D40" s="22">
        <v>152000</v>
      </c>
      <c r="E40" s="22">
        <f t="shared" si="7"/>
        <v>80000</v>
      </c>
      <c r="F40" s="22">
        <v>0.15</v>
      </c>
      <c r="G40" s="22">
        <f t="shared" si="8"/>
        <v>12000</v>
      </c>
    </row>
    <row r="41" spans="1:7" x14ac:dyDescent="0.2">
      <c r="A41" s="19">
        <v>140000</v>
      </c>
      <c r="B41" s="22">
        <v>80000</v>
      </c>
      <c r="C41" s="22">
        <f t="shared" si="6"/>
        <v>72000</v>
      </c>
      <c r="D41" s="22">
        <v>152000</v>
      </c>
      <c r="E41" s="22">
        <f t="shared" si="7"/>
        <v>80000</v>
      </c>
      <c r="F41" s="22">
        <v>0.05</v>
      </c>
      <c r="G41" s="22">
        <f t="shared" si="8"/>
        <v>4000</v>
      </c>
    </row>
    <row r="42" spans="1:7" x14ac:dyDescent="0.2">
      <c r="A42" s="48"/>
      <c r="B42" s="49"/>
      <c r="C42" s="49"/>
      <c r="D42" s="49"/>
      <c r="E42" s="54"/>
      <c r="F42" s="21" t="s">
        <v>19</v>
      </c>
      <c r="G42" s="25">
        <f>SUM(G36:G41)</f>
        <v>62900</v>
      </c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51" t="s">
        <v>23</v>
      </c>
      <c r="B44" s="52"/>
      <c r="C44" s="52"/>
      <c r="D44" s="52"/>
      <c r="E44" s="52"/>
      <c r="F44" s="52"/>
      <c r="G44" s="53"/>
    </row>
    <row r="45" spans="1:7" x14ac:dyDescent="0.2">
      <c r="A45" s="20" t="s">
        <v>12</v>
      </c>
      <c r="B45" s="21" t="s">
        <v>26</v>
      </c>
      <c r="C45" s="21" t="s">
        <v>14</v>
      </c>
      <c r="D45" s="21" t="s">
        <v>17</v>
      </c>
      <c r="E45" s="21" t="s">
        <v>15</v>
      </c>
      <c r="F45" s="21" t="s">
        <v>11</v>
      </c>
      <c r="G45" s="21" t="s">
        <v>21</v>
      </c>
    </row>
    <row r="46" spans="1:7" x14ac:dyDescent="0.2">
      <c r="A46" s="19">
        <v>40000</v>
      </c>
      <c r="B46" s="22">
        <v>40000</v>
      </c>
      <c r="C46" s="22">
        <f>5*18000</f>
        <v>90000</v>
      </c>
      <c r="D46" s="22">
        <v>76000</v>
      </c>
      <c r="E46" s="22">
        <f>D46-C46</f>
        <v>-14000</v>
      </c>
      <c r="F46" s="22">
        <v>0.15</v>
      </c>
      <c r="G46" s="22">
        <f>SUMPRODUCT(F46,E46)</f>
        <v>-2100</v>
      </c>
    </row>
    <row r="47" spans="1:7" x14ac:dyDescent="0.2">
      <c r="A47" s="19">
        <v>60000</v>
      </c>
      <c r="B47" s="22">
        <v>60000</v>
      </c>
      <c r="C47" s="22">
        <f t="shared" ref="C47:C51" si="9">5*18000</f>
        <v>90000</v>
      </c>
      <c r="D47" s="22">
        <v>114000</v>
      </c>
      <c r="E47" s="22">
        <f t="shared" ref="E47:E51" si="10">D47-C47</f>
        <v>24000</v>
      </c>
      <c r="F47" s="22">
        <v>0.15</v>
      </c>
      <c r="G47" s="22">
        <f t="shared" ref="G47:G51" si="11">SUMPRODUCT(F47,E47)</f>
        <v>3600</v>
      </c>
    </row>
    <row r="48" spans="1:7" x14ac:dyDescent="0.2">
      <c r="A48" s="19">
        <v>80000</v>
      </c>
      <c r="B48" s="22">
        <v>80000</v>
      </c>
      <c r="C48" s="22">
        <f t="shared" si="9"/>
        <v>90000</v>
      </c>
      <c r="D48" s="22">
        <v>152000</v>
      </c>
      <c r="E48" s="22">
        <f t="shared" si="10"/>
        <v>62000</v>
      </c>
      <c r="F48" s="22">
        <v>0.25</v>
      </c>
      <c r="G48" s="22">
        <f t="shared" si="11"/>
        <v>15500</v>
      </c>
    </row>
    <row r="49" spans="1:7" x14ac:dyDescent="0.2">
      <c r="A49" s="19">
        <v>100000</v>
      </c>
      <c r="B49" s="22">
        <v>100000</v>
      </c>
      <c r="C49" s="22">
        <f t="shared" si="9"/>
        <v>90000</v>
      </c>
      <c r="D49" s="22">
        <f>MIN(A49,A49)*1.9</f>
        <v>190000</v>
      </c>
      <c r="E49" s="22">
        <f t="shared" si="10"/>
        <v>100000</v>
      </c>
      <c r="F49" s="22">
        <v>0.25</v>
      </c>
      <c r="G49" s="22">
        <f t="shared" si="11"/>
        <v>25000</v>
      </c>
    </row>
    <row r="50" spans="1:7" x14ac:dyDescent="0.2">
      <c r="A50" s="19">
        <v>120000</v>
      </c>
      <c r="B50" s="22">
        <v>100000</v>
      </c>
      <c r="C50" s="22">
        <f t="shared" si="9"/>
        <v>90000</v>
      </c>
      <c r="D50" s="22">
        <v>190000</v>
      </c>
      <c r="E50" s="22">
        <f t="shared" si="10"/>
        <v>100000</v>
      </c>
      <c r="F50" s="22">
        <v>0.15</v>
      </c>
      <c r="G50" s="22">
        <f t="shared" si="11"/>
        <v>15000</v>
      </c>
    </row>
    <row r="51" spans="1:7" x14ac:dyDescent="0.2">
      <c r="A51" s="19">
        <v>140000</v>
      </c>
      <c r="B51" s="22">
        <v>100000</v>
      </c>
      <c r="C51" s="22">
        <f t="shared" si="9"/>
        <v>90000</v>
      </c>
      <c r="D51" s="22">
        <v>190000</v>
      </c>
      <c r="E51" s="22">
        <f t="shared" si="10"/>
        <v>100000</v>
      </c>
      <c r="F51" s="22">
        <v>0.05</v>
      </c>
      <c r="G51" s="22">
        <f t="shared" si="11"/>
        <v>5000</v>
      </c>
    </row>
    <row r="52" spans="1:7" x14ac:dyDescent="0.2">
      <c r="A52" s="48"/>
      <c r="B52" s="49"/>
      <c r="C52" s="49"/>
      <c r="D52" s="49"/>
      <c r="E52" s="54"/>
      <c r="F52" s="21" t="s">
        <v>19</v>
      </c>
      <c r="G52" s="24">
        <f>SUM(G46:G51)</f>
        <v>62000</v>
      </c>
    </row>
    <row r="53" spans="1:7" x14ac:dyDescent="0.2">
      <c r="A53" s="23"/>
      <c r="B53" s="23"/>
      <c r="C53" s="23"/>
      <c r="D53" s="23"/>
      <c r="E53" s="23"/>
      <c r="F53" s="23"/>
      <c r="G53" s="23"/>
    </row>
    <row r="54" spans="1:7" x14ac:dyDescent="0.2">
      <c r="A54" s="51" t="s">
        <v>24</v>
      </c>
      <c r="B54" s="52"/>
      <c r="C54" s="52"/>
      <c r="D54" s="52"/>
      <c r="E54" s="52"/>
      <c r="F54" s="52"/>
      <c r="G54" s="53"/>
    </row>
    <row r="55" spans="1:7" x14ac:dyDescent="0.2">
      <c r="A55" s="20" t="s">
        <v>12</v>
      </c>
      <c r="B55" s="21" t="s">
        <v>26</v>
      </c>
      <c r="C55" s="21" t="s">
        <v>14</v>
      </c>
      <c r="D55" s="21" t="s">
        <v>17</v>
      </c>
      <c r="E55" s="21" t="s">
        <v>15</v>
      </c>
      <c r="F55" s="21" t="s">
        <v>11</v>
      </c>
      <c r="G55" s="21" t="s">
        <v>21</v>
      </c>
    </row>
    <row r="56" spans="1:7" x14ac:dyDescent="0.2">
      <c r="A56" s="19">
        <v>40000</v>
      </c>
      <c r="B56" s="22">
        <v>40000</v>
      </c>
      <c r="C56" s="22">
        <f>6*18000</f>
        <v>108000</v>
      </c>
      <c r="D56" s="22">
        <v>76000</v>
      </c>
      <c r="E56" s="22">
        <f>D56-C56</f>
        <v>-32000</v>
      </c>
      <c r="F56" s="22">
        <v>0.15</v>
      </c>
      <c r="G56" s="22">
        <f>SUMPRODUCT(F56,E56)</f>
        <v>-4800</v>
      </c>
    </row>
    <row r="57" spans="1:7" x14ac:dyDescent="0.2">
      <c r="A57" s="19">
        <v>60000</v>
      </c>
      <c r="B57" s="22">
        <v>60000</v>
      </c>
      <c r="C57" s="22">
        <f t="shared" ref="C57:C61" si="12">6*18000</f>
        <v>108000</v>
      </c>
      <c r="D57" s="22">
        <v>114000</v>
      </c>
      <c r="E57" s="22">
        <f t="shared" ref="E57:E61" si="13">D57-C57</f>
        <v>6000</v>
      </c>
      <c r="F57" s="22">
        <v>0.15</v>
      </c>
      <c r="G57" s="22">
        <f t="shared" ref="G57:G61" si="14">SUMPRODUCT(F57,E57)</f>
        <v>900</v>
      </c>
    </row>
    <row r="58" spans="1:7" x14ac:dyDescent="0.2">
      <c r="A58" s="19">
        <v>80000</v>
      </c>
      <c r="B58" s="22">
        <v>80000</v>
      </c>
      <c r="C58" s="22">
        <f t="shared" si="12"/>
        <v>108000</v>
      </c>
      <c r="D58" s="22">
        <v>152000</v>
      </c>
      <c r="E58" s="22">
        <f t="shared" si="13"/>
        <v>44000</v>
      </c>
      <c r="F58" s="22">
        <v>0.25</v>
      </c>
      <c r="G58" s="22">
        <f t="shared" si="14"/>
        <v>11000</v>
      </c>
    </row>
    <row r="59" spans="1:7" x14ac:dyDescent="0.2">
      <c r="A59" s="19">
        <v>100000</v>
      </c>
      <c r="B59" s="22">
        <v>100000</v>
      </c>
      <c r="C59" s="22">
        <f t="shared" si="12"/>
        <v>108000</v>
      </c>
      <c r="D59" s="22">
        <f>MIN(A59,A59)*1.9</f>
        <v>190000</v>
      </c>
      <c r="E59" s="22">
        <f t="shared" si="13"/>
        <v>82000</v>
      </c>
      <c r="F59" s="22">
        <v>0.25</v>
      </c>
      <c r="G59" s="22">
        <f t="shared" si="14"/>
        <v>20500</v>
      </c>
    </row>
    <row r="60" spans="1:7" x14ac:dyDescent="0.2">
      <c r="A60" s="19">
        <v>120000</v>
      </c>
      <c r="B60" s="22">
        <v>120000</v>
      </c>
      <c r="C60" s="22">
        <f t="shared" si="12"/>
        <v>108000</v>
      </c>
      <c r="D60" s="22">
        <f>MIN(A60,A60)*1.9</f>
        <v>228000</v>
      </c>
      <c r="E60" s="22">
        <f t="shared" si="13"/>
        <v>120000</v>
      </c>
      <c r="F60" s="22">
        <v>0.15</v>
      </c>
      <c r="G60" s="22">
        <f t="shared" si="14"/>
        <v>18000</v>
      </c>
    </row>
    <row r="61" spans="1:7" x14ac:dyDescent="0.2">
      <c r="A61" s="19">
        <v>140000</v>
      </c>
      <c r="B61" s="22">
        <v>120000</v>
      </c>
      <c r="C61" s="22">
        <f t="shared" si="12"/>
        <v>108000</v>
      </c>
      <c r="D61" s="22">
        <v>228000</v>
      </c>
      <c r="E61" s="22">
        <f t="shared" si="13"/>
        <v>120000</v>
      </c>
      <c r="F61" s="22">
        <v>0.05</v>
      </c>
      <c r="G61" s="22">
        <f t="shared" si="14"/>
        <v>6000</v>
      </c>
    </row>
    <row r="62" spans="1:7" x14ac:dyDescent="0.2">
      <c r="A62" s="48"/>
      <c r="B62" s="49"/>
      <c r="C62" s="49"/>
      <c r="D62" s="49"/>
      <c r="E62" s="54"/>
      <c r="F62" s="21" t="s">
        <v>19</v>
      </c>
      <c r="G62" s="24">
        <f>SUM(G56:G61)</f>
        <v>51600</v>
      </c>
    </row>
    <row r="63" spans="1:7" x14ac:dyDescent="0.2">
      <c r="A63" s="23"/>
      <c r="B63" s="23"/>
      <c r="C63" s="23"/>
      <c r="D63" s="23"/>
      <c r="E63" s="23"/>
      <c r="F63" s="23"/>
      <c r="G63" s="23"/>
    </row>
    <row r="64" spans="1:7" x14ac:dyDescent="0.2">
      <c r="A64" s="51" t="s">
        <v>25</v>
      </c>
      <c r="B64" s="52"/>
      <c r="C64" s="52"/>
      <c r="D64" s="52"/>
      <c r="E64" s="52"/>
      <c r="F64" s="52"/>
      <c r="G64" s="53"/>
    </row>
    <row r="65" spans="1:7" x14ac:dyDescent="0.2">
      <c r="A65" s="20" t="s">
        <v>12</v>
      </c>
      <c r="B65" s="21" t="s">
        <v>27</v>
      </c>
      <c r="C65" s="21" t="s">
        <v>14</v>
      </c>
      <c r="D65" s="21" t="s">
        <v>17</v>
      </c>
      <c r="E65" s="21" t="s">
        <v>15</v>
      </c>
      <c r="F65" s="21" t="s">
        <v>11</v>
      </c>
      <c r="G65" s="21" t="s">
        <v>21</v>
      </c>
    </row>
    <row r="66" spans="1:7" x14ac:dyDescent="0.2">
      <c r="A66" s="19">
        <v>40000</v>
      </c>
      <c r="B66" s="22">
        <v>40000</v>
      </c>
      <c r="C66" s="22">
        <f>7*18000</f>
        <v>126000</v>
      </c>
      <c r="D66" s="22">
        <f>MIN(A66,A66)*1.9</f>
        <v>76000</v>
      </c>
      <c r="E66" s="22">
        <f>D66-C66</f>
        <v>-50000</v>
      </c>
      <c r="F66" s="22">
        <v>0.15</v>
      </c>
      <c r="G66" s="22">
        <f>SUMPRODUCT(F66,E66)</f>
        <v>-7500</v>
      </c>
    </row>
    <row r="67" spans="1:7" x14ac:dyDescent="0.2">
      <c r="A67" s="19">
        <v>60000</v>
      </c>
      <c r="B67" s="22">
        <v>60000</v>
      </c>
      <c r="C67" s="22">
        <f t="shared" ref="C67:C71" si="15">7*18000</f>
        <v>126000</v>
      </c>
      <c r="D67" s="22">
        <f t="shared" ref="D67:D71" si="16">MIN(A67,A67)*1.9</f>
        <v>114000</v>
      </c>
      <c r="E67" s="22">
        <f t="shared" ref="E67:E71" si="17">D67-C67</f>
        <v>-12000</v>
      </c>
      <c r="F67" s="22">
        <v>0.15</v>
      </c>
      <c r="G67" s="22">
        <f t="shared" ref="G67:G71" si="18">SUMPRODUCT(F67,E67)</f>
        <v>-1800</v>
      </c>
    </row>
    <row r="68" spans="1:7" x14ac:dyDescent="0.2">
      <c r="A68" s="19">
        <v>80000</v>
      </c>
      <c r="B68" s="22">
        <v>80000</v>
      </c>
      <c r="C68" s="22">
        <f t="shared" si="15"/>
        <v>126000</v>
      </c>
      <c r="D68" s="22">
        <f t="shared" si="16"/>
        <v>152000</v>
      </c>
      <c r="E68" s="22">
        <f t="shared" si="17"/>
        <v>26000</v>
      </c>
      <c r="F68" s="22">
        <v>0.25</v>
      </c>
      <c r="G68" s="22">
        <f t="shared" si="18"/>
        <v>6500</v>
      </c>
    </row>
    <row r="69" spans="1:7" x14ac:dyDescent="0.2">
      <c r="A69" s="19">
        <v>100000</v>
      </c>
      <c r="B69" s="22">
        <v>100000</v>
      </c>
      <c r="C69" s="22">
        <f t="shared" si="15"/>
        <v>126000</v>
      </c>
      <c r="D69" s="22">
        <f t="shared" si="16"/>
        <v>190000</v>
      </c>
      <c r="E69" s="22">
        <f t="shared" si="17"/>
        <v>64000</v>
      </c>
      <c r="F69" s="22">
        <v>0.25</v>
      </c>
      <c r="G69" s="22">
        <f t="shared" si="18"/>
        <v>16000</v>
      </c>
    </row>
    <row r="70" spans="1:7" x14ac:dyDescent="0.2">
      <c r="A70" s="19">
        <v>120000</v>
      </c>
      <c r="B70" s="22">
        <v>120000</v>
      </c>
      <c r="C70" s="22">
        <f t="shared" si="15"/>
        <v>126000</v>
      </c>
      <c r="D70" s="22">
        <f t="shared" si="16"/>
        <v>228000</v>
      </c>
      <c r="E70" s="22">
        <f t="shared" si="17"/>
        <v>102000</v>
      </c>
      <c r="F70" s="22">
        <v>0.15</v>
      </c>
      <c r="G70" s="22">
        <f t="shared" si="18"/>
        <v>15300</v>
      </c>
    </row>
    <row r="71" spans="1:7" x14ac:dyDescent="0.2">
      <c r="A71" s="19">
        <v>140000</v>
      </c>
      <c r="B71" s="22">
        <v>140000</v>
      </c>
      <c r="C71" s="22">
        <f t="shared" si="15"/>
        <v>126000</v>
      </c>
      <c r="D71" s="22">
        <f t="shared" si="16"/>
        <v>266000</v>
      </c>
      <c r="E71" s="22">
        <f t="shared" si="17"/>
        <v>140000</v>
      </c>
      <c r="F71" s="22">
        <v>0.05</v>
      </c>
      <c r="G71" s="22">
        <f t="shared" si="18"/>
        <v>7000</v>
      </c>
    </row>
    <row r="72" spans="1:7" x14ac:dyDescent="0.2">
      <c r="A72" s="48"/>
      <c r="B72" s="49"/>
      <c r="C72" s="49"/>
      <c r="D72" s="49"/>
      <c r="E72" s="54"/>
      <c r="F72" s="21" t="s">
        <v>19</v>
      </c>
      <c r="G72" s="24">
        <f>SUM(G66:G71)</f>
        <v>35500</v>
      </c>
    </row>
    <row r="77" spans="1:7" x14ac:dyDescent="0.2">
      <c r="A77" s="18" t="s">
        <v>12</v>
      </c>
      <c r="B77" s="26" t="s">
        <v>28</v>
      </c>
      <c r="C77" s="26" t="s">
        <v>13</v>
      </c>
    </row>
    <row r="78" spans="1:7" x14ac:dyDescent="0.2">
      <c r="A78" s="19">
        <v>40000</v>
      </c>
      <c r="B78" s="24">
        <v>40000</v>
      </c>
      <c r="C78" s="22">
        <v>2</v>
      </c>
    </row>
    <row r="79" spans="1:7" x14ac:dyDescent="0.2">
      <c r="A79" s="19">
        <v>60000</v>
      </c>
      <c r="B79" s="24">
        <v>54300</v>
      </c>
      <c r="C79" s="22">
        <v>3</v>
      </c>
    </row>
    <row r="80" spans="1:7" x14ac:dyDescent="0.2">
      <c r="A80" s="29">
        <v>80000</v>
      </c>
      <c r="B80" s="25">
        <v>62900</v>
      </c>
      <c r="C80" s="30">
        <v>4</v>
      </c>
    </row>
    <row r="81" spans="1:3" x14ac:dyDescent="0.2">
      <c r="A81" s="19">
        <v>100000</v>
      </c>
      <c r="B81" s="24">
        <v>62000</v>
      </c>
      <c r="C81" s="22">
        <v>5</v>
      </c>
    </row>
    <row r="82" spans="1:3" x14ac:dyDescent="0.2">
      <c r="A82" s="19">
        <v>120000</v>
      </c>
      <c r="B82" s="24">
        <v>51600</v>
      </c>
      <c r="C82" s="22">
        <v>6</v>
      </c>
    </row>
    <row r="83" spans="1:3" x14ac:dyDescent="0.2">
      <c r="A83" s="19">
        <v>140000</v>
      </c>
      <c r="B83" s="24">
        <v>35500</v>
      </c>
      <c r="C83" s="22">
        <v>7</v>
      </c>
    </row>
  </sheetData>
  <mergeCells count="12">
    <mergeCell ref="A72:E72"/>
    <mergeCell ref="A14:G14"/>
    <mergeCell ref="A22:E22"/>
    <mergeCell ref="A24:G24"/>
    <mergeCell ref="A32:E32"/>
    <mergeCell ref="A34:G34"/>
    <mergeCell ref="A42:E42"/>
    <mergeCell ref="A44:G44"/>
    <mergeCell ref="A52:E52"/>
    <mergeCell ref="A54:G54"/>
    <mergeCell ref="A62:E62"/>
    <mergeCell ref="A64:G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F7A1-0B4D-9E4C-BAD5-2BC354689E5E}">
  <dimension ref="A1:K17"/>
  <sheetViews>
    <sheetView tabSelected="1" workbookViewId="0">
      <selection activeCell="D30" sqref="D30"/>
    </sheetView>
  </sheetViews>
  <sheetFormatPr baseColWidth="10" defaultRowHeight="15" x14ac:dyDescent="0.2"/>
  <cols>
    <col min="1" max="1" width="21.6640625" customWidth="1"/>
    <col min="2" max="2" width="16.33203125" customWidth="1"/>
    <col min="3" max="3" width="12.6640625" customWidth="1"/>
  </cols>
  <sheetData>
    <row r="1" spans="1:11" x14ac:dyDescent="0.2">
      <c r="A1" s="34" t="s">
        <v>29</v>
      </c>
      <c r="B1" s="34" t="s">
        <v>38</v>
      </c>
      <c r="C1" s="34" t="s">
        <v>30</v>
      </c>
      <c r="D1" s="34" t="s">
        <v>31</v>
      </c>
      <c r="E1" s="34" t="s">
        <v>32</v>
      </c>
      <c r="F1" s="34" t="s">
        <v>33</v>
      </c>
      <c r="G1" s="34" t="s">
        <v>34</v>
      </c>
      <c r="H1" s="34" t="s">
        <v>35</v>
      </c>
      <c r="I1" s="26" t="s">
        <v>36</v>
      </c>
      <c r="J1" s="34" t="s">
        <v>37</v>
      </c>
      <c r="K1" s="35"/>
    </row>
    <row r="2" spans="1:11" x14ac:dyDescent="0.2">
      <c r="A2" s="6">
        <v>1.5</v>
      </c>
      <c r="B2" s="6">
        <v>14</v>
      </c>
      <c r="C2" s="6">
        <v>32</v>
      </c>
      <c r="D2" s="6">
        <v>43.5</v>
      </c>
      <c r="E2" s="9">
        <v>50.5</v>
      </c>
      <c r="F2" s="6">
        <v>50</v>
      </c>
      <c r="G2" s="6">
        <v>42</v>
      </c>
      <c r="H2" s="6">
        <v>29.5</v>
      </c>
      <c r="I2" s="22">
        <v>4</v>
      </c>
      <c r="J2" s="6">
        <f>MAX(C2:H2)</f>
        <v>50.5</v>
      </c>
    </row>
    <row r="3" spans="1:11" x14ac:dyDescent="0.2">
      <c r="A3" s="6">
        <v>1.5</v>
      </c>
      <c r="B3" s="6">
        <v>16</v>
      </c>
      <c r="C3" s="6">
        <v>28</v>
      </c>
      <c r="D3" s="6">
        <v>37.5</v>
      </c>
      <c r="E3" s="9">
        <v>42.5</v>
      </c>
      <c r="F3" s="6">
        <v>40</v>
      </c>
      <c r="G3" s="6">
        <v>30</v>
      </c>
      <c r="H3" s="6">
        <v>15.5</v>
      </c>
      <c r="I3" s="22">
        <v>4</v>
      </c>
      <c r="J3" s="6">
        <f t="shared" ref="J3:J10" si="0">MAX(C3:H3)</f>
        <v>42.5</v>
      </c>
    </row>
    <row r="4" spans="1:11" x14ac:dyDescent="0.2">
      <c r="A4" s="6">
        <v>1.5</v>
      </c>
      <c r="B4" s="6">
        <v>18</v>
      </c>
      <c r="C4" s="6">
        <v>24</v>
      </c>
      <c r="D4" s="6">
        <v>31.5</v>
      </c>
      <c r="E4" s="9">
        <v>34.5</v>
      </c>
      <c r="F4" s="6">
        <v>30</v>
      </c>
      <c r="G4" s="6">
        <v>18</v>
      </c>
      <c r="H4" s="6">
        <v>1.5</v>
      </c>
      <c r="I4" s="32">
        <v>4</v>
      </c>
      <c r="J4" s="6">
        <f t="shared" si="0"/>
        <v>34.5</v>
      </c>
    </row>
    <row r="5" spans="1:11" x14ac:dyDescent="0.2">
      <c r="A5" s="6">
        <v>1.7</v>
      </c>
      <c r="B5" s="6">
        <v>14</v>
      </c>
      <c r="C5" s="6">
        <v>40</v>
      </c>
      <c r="D5" s="6">
        <v>54.9</v>
      </c>
      <c r="E5" s="6">
        <v>64.7</v>
      </c>
      <c r="F5" s="9">
        <v>66</v>
      </c>
      <c r="G5" s="6">
        <v>58.8</v>
      </c>
      <c r="H5" s="6">
        <v>46.5</v>
      </c>
      <c r="I5" s="22">
        <v>5</v>
      </c>
      <c r="J5" s="6">
        <f t="shared" si="0"/>
        <v>66</v>
      </c>
    </row>
    <row r="6" spans="1:11" x14ac:dyDescent="0.2">
      <c r="A6" s="6">
        <v>1.7</v>
      </c>
      <c r="B6" s="6">
        <v>16</v>
      </c>
      <c r="C6" s="6">
        <v>36</v>
      </c>
      <c r="D6" s="6">
        <v>48.9</v>
      </c>
      <c r="E6" s="9">
        <v>56.7</v>
      </c>
      <c r="F6" s="6">
        <v>56</v>
      </c>
      <c r="G6" s="6">
        <v>46.8</v>
      </c>
      <c r="H6" s="6">
        <v>32.5</v>
      </c>
      <c r="I6" s="22">
        <v>4</v>
      </c>
      <c r="J6" s="6">
        <f t="shared" si="0"/>
        <v>56.7</v>
      </c>
    </row>
    <row r="7" spans="1:11" x14ac:dyDescent="0.2">
      <c r="A7" s="6">
        <v>1.7</v>
      </c>
      <c r="B7" s="6">
        <v>18</v>
      </c>
      <c r="C7" s="6">
        <v>32</v>
      </c>
      <c r="D7" s="6">
        <v>42.9</v>
      </c>
      <c r="E7" s="9">
        <v>48.7</v>
      </c>
      <c r="F7" s="6">
        <v>46</v>
      </c>
      <c r="G7" s="6">
        <v>34.799999999999997</v>
      </c>
      <c r="H7" s="6">
        <v>18.5</v>
      </c>
      <c r="I7" s="22">
        <v>4</v>
      </c>
      <c r="J7" s="6">
        <f t="shared" si="0"/>
        <v>48.7</v>
      </c>
    </row>
    <row r="8" spans="1:11" x14ac:dyDescent="0.2">
      <c r="A8" s="6">
        <v>1.9</v>
      </c>
      <c r="B8" s="6">
        <v>14</v>
      </c>
      <c r="C8" s="6">
        <v>48</v>
      </c>
      <c r="D8" s="6">
        <v>66.3</v>
      </c>
      <c r="E8" s="6">
        <v>78.900000000000006</v>
      </c>
      <c r="F8" s="9">
        <v>82</v>
      </c>
      <c r="G8" s="6">
        <v>75.599999999999994</v>
      </c>
      <c r="H8" s="6">
        <v>63.5</v>
      </c>
      <c r="I8" s="6">
        <v>5</v>
      </c>
      <c r="J8" s="6">
        <f t="shared" si="0"/>
        <v>82</v>
      </c>
    </row>
    <row r="9" spans="1:11" x14ac:dyDescent="0.2">
      <c r="A9" s="6">
        <v>1.9</v>
      </c>
      <c r="B9" s="6">
        <v>16</v>
      </c>
      <c r="C9" s="6">
        <v>44</v>
      </c>
      <c r="D9" s="6">
        <v>60.3</v>
      </c>
      <c r="E9" s="6">
        <v>70.900000000000006</v>
      </c>
      <c r="F9" s="9">
        <v>72</v>
      </c>
      <c r="G9" s="6">
        <v>63.6</v>
      </c>
      <c r="H9" s="6">
        <v>49.5</v>
      </c>
      <c r="I9" s="6">
        <v>5</v>
      </c>
      <c r="J9" s="6">
        <f t="shared" si="0"/>
        <v>72</v>
      </c>
    </row>
    <row r="10" spans="1:11" x14ac:dyDescent="0.2">
      <c r="A10" s="6">
        <v>1.9</v>
      </c>
      <c r="B10" s="6">
        <v>18</v>
      </c>
      <c r="C10" s="6">
        <v>40</v>
      </c>
      <c r="D10" s="6">
        <v>54.3</v>
      </c>
      <c r="E10" s="9">
        <v>62.9</v>
      </c>
      <c r="F10" s="6">
        <v>62</v>
      </c>
      <c r="G10" s="6">
        <v>51.6</v>
      </c>
      <c r="H10" s="6">
        <v>35.5</v>
      </c>
      <c r="I10" s="6">
        <v>4</v>
      </c>
      <c r="J10" s="6">
        <f t="shared" si="0"/>
        <v>62.9</v>
      </c>
    </row>
    <row r="12" spans="1:11" x14ac:dyDescent="0.2">
      <c r="A12" t="s">
        <v>39</v>
      </c>
    </row>
    <row r="13" spans="1:11" x14ac:dyDescent="0.2">
      <c r="A13" s="36" t="s">
        <v>14</v>
      </c>
      <c r="B13" s="56">
        <f>14+15%</f>
        <v>14.15</v>
      </c>
      <c r="C13" s="56">
        <f>16+15%</f>
        <v>16.149999999999999</v>
      </c>
      <c r="D13" s="56">
        <f>18+15%</f>
        <v>18.149999999999999</v>
      </c>
    </row>
    <row r="14" spans="1:11" x14ac:dyDescent="0.2">
      <c r="A14" s="37" t="s">
        <v>15</v>
      </c>
      <c r="B14" s="56"/>
      <c r="C14" s="56"/>
      <c r="D14" s="56"/>
    </row>
    <row r="15" spans="1:11" x14ac:dyDescent="0.2">
      <c r="A15" s="39">
        <f>1.5+15%</f>
        <v>1.65</v>
      </c>
      <c r="B15" s="38">
        <v>4</v>
      </c>
      <c r="C15" s="38">
        <v>4</v>
      </c>
      <c r="D15" s="38">
        <v>4</v>
      </c>
    </row>
    <row r="16" spans="1:11" x14ac:dyDescent="0.2">
      <c r="A16" s="39">
        <f>1.7+15%</f>
        <v>1.8499999999999999</v>
      </c>
      <c r="B16" s="38">
        <v>5</v>
      </c>
      <c r="C16" s="38">
        <v>4</v>
      </c>
      <c r="D16" s="38">
        <v>4</v>
      </c>
    </row>
    <row r="17" spans="1:4" x14ac:dyDescent="0.2">
      <c r="A17" s="39">
        <f>1.9+15%</f>
        <v>2.0499999999999998</v>
      </c>
      <c r="B17" s="38">
        <v>5</v>
      </c>
      <c r="C17" s="38">
        <v>5</v>
      </c>
      <c r="D17" s="38">
        <v>4</v>
      </c>
    </row>
  </sheetData>
  <mergeCells count="3">
    <mergeCell ref="B13:B14"/>
    <mergeCell ref="C13:C14"/>
    <mergeCell ref="D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Demand </vt:lpstr>
      <vt:lpstr>Sensitivity analysis 1</vt:lpstr>
      <vt:lpstr>Sensitivity analysis 2</vt:lpstr>
      <vt:lpstr>Sensitivity analysis 3</vt:lpstr>
      <vt:lpstr>Sensitivity analysis 4</vt:lpstr>
      <vt:lpstr>Sensitivity analysis 5</vt:lpstr>
      <vt:lpstr>Sensitivity analysis 6</vt:lpstr>
      <vt:lpstr>Sensitivity analysis 7</vt:lpstr>
      <vt:lpstr>Sensitivity analysis 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Made Regina Arundhati PRABA</cp:lastModifiedBy>
  <dcterms:created xsi:type="dcterms:W3CDTF">2025-11-09T10:08:17Z</dcterms:created>
  <dcterms:modified xsi:type="dcterms:W3CDTF">2025-11-28T05:27:18Z</dcterms:modified>
</cp:coreProperties>
</file>